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walka\MyGit\excel\projects\bike_sales_dashboard\"/>
    </mc:Choice>
  </mc:AlternateContent>
  <xr:revisionPtr revIDLastSave="0" documentId="13_ncr:1_{911BE484-8635-40A1-BA66-FC8264745084}" xr6:coauthVersionLast="47" xr6:coauthVersionMax="47" xr10:uidLastSave="{00000000-0000-0000-0000-000000000000}"/>
  <bookViews>
    <workbookView xWindow="-108" yWindow="-108" windowWidth="23256" windowHeight="13176" firstSheet="3" activeTab="3" xr2:uid="{00000000-000D-0000-FFFF-FFFF00000000}"/>
  </bookViews>
  <sheets>
    <sheet name="data" sheetId="2" state="hidden" r:id="rId1"/>
    <sheet name="Clean_data" sheetId="1" state="hidden" r:id="rId2"/>
    <sheet name="pivot_table" sheetId="3" state="hidden" r:id="rId3"/>
    <sheet name="dashboard" sheetId="6" r:id="rId4"/>
  </sheets>
  <definedNames>
    <definedName name="_xlnm._FilterDatabase" localSheetId="1" hidden="1">Clean_data!$A$1:$N$1001</definedName>
    <definedName name="_xlnm._FilterDatabase" localSheetId="0" hidden="1">data!$A$1:$M$1027</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c r="M5" i="1" a="1"/>
  <c r="M5" i="1" s="1"/>
  <c r="M6" i="1" a="1"/>
  <c r="M6" i="1"/>
  <c r="M7" i="1" a="1"/>
  <c r="M7" i="1" s="1"/>
  <c r="M8" i="1" a="1"/>
  <c r="M8" i="1" s="1"/>
  <c r="M9" i="1" a="1"/>
  <c r="M9" i="1" s="1"/>
  <c r="M10" i="1" a="1"/>
  <c r="M10" i="1"/>
  <c r="M11" i="1" a="1"/>
  <c r="M11" i="1" s="1"/>
  <c r="M12" i="1" a="1"/>
  <c r="M12" i="1"/>
  <c r="M13" i="1" a="1"/>
  <c r="M13" i="1" s="1"/>
  <c r="M14" i="1" a="1"/>
  <c r="M14" i="1"/>
  <c r="M15" i="1" a="1"/>
  <c r="M15" i="1" s="1"/>
  <c r="M16" i="1" a="1"/>
  <c r="M16" i="1" s="1"/>
  <c r="M17" i="1" a="1"/>
  <c r="M17" i="1" s="1"/>
  <c r="M18" i="1" a="1"/>
  <c r="M18" i="1"/>
  <c r="M19" i="1" a="1"/>
  <c r="M19" i="1" s="1"/>
  <c r="M20" i="1" a="1"/>
  <c r="M20" i="1"/>
  <c r="M21" i="1" a="1"/>
  <c r="M21" i="1" s="1"/>
  <c r="M22" i="1" a="1"/>
  <c r="M22" i="1"/>
  <c r="M23" i="1" a="1"/>
  <c r="M23" i="1" s="1"/>
  <c r="M24" i="1" a="1"/>
  <c r="M24" i="1" s="1"/>
  <c r="M25" i="1" a="1"/>
  <c r="M25" i="1" s="1"/>
  <c r="M26" i="1" a="1"/>
  <c r="M26" i="1" s="1"/>
  <c r="M27" i="1" a="1"/>
  <c r="M27" i="1" s="1"/>
  <c r="M28" i="1" a="1"/>
  <c r="M28" i="1"/>
  <c r="M29" i="1" a="1"/>
  <c r="M29" i="1" s="1"/>
  <c r="M30" i="1" a="1"/>
  <c r="M30" i="1" s="1"/>
  <c r="M31" i="1" a="1"/>
  <c r="M31" i="1" s="1"/>
  <c r="M32" i="1" a="1"/>
  <c r="M32" i="1" s="1"/>
  <c r="M33" i="1" a="1"/>
  <c r="M33" i="1" s="1"/>
  <c r="M34" i="1" a="1"/>
  <c r="M34" i="1"/>
  <c r="M35" i="1" a="1"/>
  <c r="M35" i="1" s="1"/>
  <c r="M36" i="1" a="1"/>
  <c r="M36" i="1"/>
  <c r="M37" i="1" a="1"/>
  <c r="M37" i="1" s="1"/>
  <c r="M38" i="1" a="1"/>
  <c r="M38" i="1" s="1"/>
  <c r="M39" i="1" a="1"/>
  <c r="M39" i="1" s="1"/>
  <c r="M40" i="1" a="1"/>
  <c r="M40" i="1" s="1"/>
  <c r="M41" i="1" a="1"/>
  <c r="M41" i="1" s="1"/>
  <c r="M42" i="1" a="1"/>
  <c r="M42" i="1" s="1"/>
  <c r="M43" i="1" a="1"/>
  <c r="M43" i="1" s="1"/>
  <c r="M44" i="1" a="1"/>
  <c r="M44" i="1"/>
  <c r="M45" i="1" a="1"/>
  <c r="M45" i="1" s="1"/>
  <c r="M46" i="1" a="1"/>
  <c r="M46" i="1" s="1"/>
  <c r="M47" i="1" a="1"/>
  <c r="M47" i="1" s="1"/>
  <c r="M48" i="1" a="1"/>
  <c r="M48" i="1" s="1"/>
  <c r="M49" i="1" a="1"/>
  <c r="M49" i="1" s="1"/>
  <c r="M50" i="1" a="1"/>
  <c r="M50" i="1"/>
  <c r="M51" i="1" a="1"/>
  <c r="M51" i="1" s="1"/>
  <c r="M52" i="1" a="1"/>
  <c r="M52" i="1"/>
  <c r="M53" i="1" a="1"/>
  <c r="M53" i="1" s="1"/>
  <c r="M54" i="1" a="1"/>
  <c r="M54" i="1" s="1"/>
  <c r="M55" i="1" a="1"/>
  <c r="M55" i="1" s="1"/>
  <c r="M56" i="1" a="1"/>
  <c r="M56" i="1" s="1"/>
  <c r="M57" i="1" a="1"/>
  <c r="M57" i="1" s="1"/>
  <c r="M58" i="1" a="1"/>
  <c r="M58" i="1" s="1"/>
  <c r="M59" i="1" a="1"/>
  <c r="M59" i="1" s="1"/>
  <c r="M60" i="1" a="1"/>
  <c r="M60" i="1"/>
  <c r="M61" i="1" a="1"/>
  <c r="M61" i="1" s="1"/>
  <c r="M62" i="1" a="1"/>
  <c r="M62" i="1" s="1"/>
  <c r="M63" i="1" a="1"/>
  <c r="M63" i="1" s="1"/>
  <c r="M64" i="1" a="1"/>
  <c r="M64" i="1" s="1"/>
  <c r="M65" i="1" a="1"/>
  <c r="M65" i="1" s="1"/>
  <c r="M66" i="1" a="1"/>
  <c r="M66" i="1"/>
  <c r="M67" i="1" a="1"/>
  <c r="M67" i="1" s="1"/>
  <c r="M68" i="1" a="1"/>
  <c r="M68" i="1"/>
  <c r="M69" i="1" a="1"/>
  <c r="M69" i="1" s="1"/>
  <c r="M70" i="1" a="1"/>
  <c r="M70" i="1" s="1"/>
  <c r="M71" i="1" a="1"/>
  <c r="M71" i="1" s="1"/>
  <c r="M72" i="1" a="1"/>
  <c r="M72" i="1" s="1"/>
  <c r="M73" i="1" a="1"/>
  <c r="M73" i="1" s="1"/>
  <c r="M74" i="1" a="1"/>
  <c r="M74" i="1" s="1"/>
  <c r="M75" i="1" a="1"/>
  <c r="M75" i="1" s="1"/>
  <c r="M76" i="1" a="1"/>
  <c r="M76" i="1"/>
  <c r="M77" i="1" a="1"/>
  <c r="M77" i="1" s="1"/>
  <c r="M78" i="1" a="1"/>
  <c r="M78" i="1" s="1"/>
  <c r="M79" i="1" a="1"/>
  <c r="M79" i="1" s="1"/>
  <c r="M80" i="1" a="1"/>
  <c r="M80" i="1" s="1"/>
  <c r="M81" i="1" a="1"/>
  <c r="M81" i="1" s="1"/>
  <c r="M82" i="1" a="1"/>
  <c r="M82" i="1"/>
  <c r="M83" i="1" a="1"/>
  <c r="M83" i="1" s="1"/>
  <c r="M84" i="1" a="1"/>
  <c r="M84" i="1"/>
  <c r="M85" i="1" a="1"/>
  <c r="M85" i="1" s="1"/>
  <c r="M86" i="1" a="1"/>
  <c r="M86" i="1" s="1"/>
  <c r="M87" i="1" a="1"/>
  <c r="M87" i="1" s="1"/>
  <c r="M88" i="1" a="1"/>
  <c r="M88" i="1" s="1"/>
  <c r="M89" i="1" a="1"/>
  <c r="M89" i="1" s="1"/>
  <c r="M90" i="1" a="1"/>
  <c r="M90" i="1" s="1"/>
  <c r="M91" i="1" a="1"/>
  <c r="M91" i="1" s="1"/>
  <c r="M92" i="1" a="1"/>
  <c r="M92" i="1"/>
  <c r="M93" i="1" a="1"/>
  <c r="M93" i="1" s="1"/>
  <c r="M94" i="1" a="1"/>
  <c r="M94" i="1" s="1"/>
  <c r="M95" i="1" a="1"/>
  <c r="M95" i="1" s="1"/>
  <c r="M96" i="1" a="1"/>
  <c r="M96" i="1" s="1"/>
  <c r="M97" i="1" a="1"/>
  <c r="M97" i="1" s="1"/>
  <c r="M98" i="1" a="1"/>
  <c r="M98" i="1"/>
  <c r="M99" i="1" a="1"/>
  <c r="M99" i="1" s="1"/>
  <c r="M100" i="1" a="1"/>
  <c r="M100" i="1"/>
  <c r="M101" i="1" a="1"/>
  <c r="M101" i="1" s="1"/>
  <c r="M102" i="1" a="1"/>
  <c r="M102" i="1" s="1"/>
  <c r="M103" i="1" a="1"/>
  <c r="M103" i="1" s="1"/>
  <c r="M104" i="1" a="1"/>
  <c r="M104" i="1" s="1"/>
  <c r="M105" i="1" a="1"/>
  <c r="M105" i="1" s="1"/>
  <c r="M106" i="1" a="1"/>
  <c r="M106" i="1" s="1"/>
  <c r="M107" i="1" a="1"/>
  <c r="M107" i="1" s="1"/>
  <c r="M108" i="1" a="1"/>
  <c r="M108" i="1"/>
  <c r="M109" i="1" a="1"/>
  <c r="M109" i="1" s="1"/>
  <c r="M110" i="1" a="1"/>
  <c r="M110" i="1" s="1"/>
  <c r="M111" i="1" a="1"/>
  <c r="M111" i="1" s="1"/>
  <c r="M112" i="1" a="1"/>
  <c r="M112" i="1" s="1"/>
  <c r="M113" i="1" a="1"/>
  <c r="M113" i="1" s="1"/>
  <c r="M114" i="1" a="1"/>
  <c r="M114" i="1"/>
  <c r="M115" i="1" a="1"/>
  <c r="M115" i="1" s="1"/>
  <c r="M116" i="1" a="1"/>
  <c r="M116" i="1"/>
  <c r="M117" i="1" a="1"/>
  <c r="M117" i="1" s="1"/>
  <c r="M118" i="1" a="1"/>
  <c r="M118" i="1" s="1"/>
  <c r="M119" i="1" a="1"/>
  <c r="M119" i="1" s="1"/>
  <c r="M120" i="1" a="1"/>
  <c r="M120" i="1" s="1"/>
  <c r="M121" i="1" a="1"/>
  <c r="M121" i="1" s="1"/>
  <c r="M122" i="1" a="1"/>
  <c r="M122" i="1" s="1"/>
  <c r="M123" i="1" a="1"/>
  <c r="M123" i="1" s="1"/>
  <c r="M124" i="1" a="1"/>
  <c r="M124" i="1"/>
  <c r="M125" i="1" a="1"/>
  <c r="M125" i="1" s="1"/>
  <c r="M126" i="1" a="1"/>
  <c r="M126" i="1" s="1"/>
  <c r="M127" i="1" a="1"/>
  <c r="M127" i="1" s="1"/>
  <c r="M128" i="1" a="1"/>
  <c r="M128" i="1" s="1"/>
  <c r="M129" i="1" a="1"/>
  <c r="M129" i="1" s="1"/>
  <c r="M130" i="1" a="1"/>
  <c r="M130" i="1"/>
  <c r="M131" i="1" a="1"/>
  <c r="M131" i="1" s="1"/>
  <c r="M132" i="1" a="1"/>
  <c r="M132" i="1"/>
  <c r="M133" i="1" a="1"/>
  <c r="M133" i="1" s="1"/>
  <c r="M134" i="1" a="1"/>
  <c r="M134" i="1" s="1"/>
  <c r="M135" i="1" a="1"/>
  <c r="M135" i="1" s="1"/>
  <c r="M136" i="1" a="1"/>
  <c r="M136" i="1" s="1"/>
  <c r="M137" i="1" a="1"/>
  <c r="M137" i="1" s="1"/>
  <c r="M138" i="1" a="1"/>
  <c r="M138" i="1" s="1"/>
  <c r="M139" i="1" a="1"/>
  <c r="M139" i="1" s="1"/>
  <c r="M140" i="1" a="1"/>
  <c r="M140" i="1"/>
  <c r="M141" i="1" a="1"/>
  <c r="M141" i="1" s="1"/>
  <c r="M142" i="1" a="1"/>
  <c r="M142" i="1" s="1"/>
  <c r="M143" i="1" a="1"/>
  <c r="M143" i="1" s="1"/>
  <c r="M144" i="1" a="1"/>
  <c r="M144" i="1" s="1"/>
  <c r="M145" i="1" a="1"/>
  <c r="M145" i="1" s="1"/>
  <c r="M146" i="1" a="1"/>
  <c r="M146" i="1"/>
  <c r="M147" i="1" a="1"/>
  <c r="M147" i="1" s="1"/>
  <c r="M148" i="1" a="1"/>
  <c r="M148" i="1"/>
  <c r="M149" i="1" a="1"/>
  <c r="M149" i="1" s="1"/>
  <c r="M150" i="1" a="1"/>
  <c r="M150" i="1" s="1"/>
  <c r="M151" i="1" a="1"/>
  <c r="M151" i="1" s="1"/>
  <c r="M152" i="1" a="1"/>
  <c r="M152" i="1" s="1"/>
  <c r="M153" i="1" a="1"/>
  <c r="M153" i="1" s="1"/>
  <c r="M154" i="1" a="1"/>
  <c r="M154" i="1" s="1"/>
  <c r="M155" i="1" a="1"/>
  <c r="M155" i="1" s="1"/>
  <c r="M156" i="1" a="1"/>
  <c r="M156" i="1"/>
  <c r="M157" i="1" a="1"/>
  <c r="M157" i="1" s="1"/>
  <c r="M158" i="1" a="1"/>
  <c r="M158" i="1" s="1"/>
  <c r="M159" i="1" a="1"/>
  <c r="M159" i="1" s="1"/>
  <c r="M160" i="1" a="1"/>
  <c r="M160" i="1" s="1"/>
  <c r="M161" i="1" a="1"/>
  <c r="M161" i="1" s="1"/>
  <c r="M162" i="1" a="1"/>
  <c r="M162" i="1"/>
  <c r="M163" i="1" a="1"/>
  <c r="M163" i="1" s="1"/>
  <c r="M164" i="1" a="1"/>
  <c r="M164" i="1"/>
  <c r="M165" i="1" a="1"/>
  <c r="M165" i="1" s="1"/>
  <c r="M166" i="1" a="1"/>
  <c r="M166" i="1" s="1"/>
  <c r="M167" i="1" a="1"/>
  <c r="M167" i="1" s="1"/>
  <c r="M168" i="1" a="1"/>
  <c r="M168" i="1" s="1"/>
  <c r="M169" i="1" a="1"/>
  <c r="M169" i="1" s="1"/>
  <c r="M170" i="1" a="1"/>
  <c r="M170" i="1" s="1"/>
  <c r="M171" i="1" a="1"/>
  <c r="M171" i="1" s="1"/>
  <c r="M172" i="1" a="1"/>
  <c r="M172" i="1"/>
  <c r="M173" i="1" a="1"/>
  <c r="M173" i="1" s="1"/>
  <c r="M174" i="1" a="1"/>
  <c r="M174" i="1"/>
  <c r="M175" i="1" a="1"/>
  <c r="M175" i="1" s="1"/>
  <c r="M176" i="1" a="1"/>
  <c r="M176" i="1"/>
  <c r="M177" i="1" a="1"/>
  <c r="M177" i="1" s="1"/>
  <c r="M178" i="1" a="1"/>
  <c r="M178" i="1"/>
  <c r="M179" i="1" a="1"/>
  <c r="M179" i="1" s="1"/>
  <c r="M180" i="1" a="1"/>
  <c r="M180" i="1"/>
  <c r="M181" i="1" a="1"/>
  <c r="M181" i="1" s="1"/>
  <c r="M182" i="1" a="1"/>
  <c r="M182" i="1"/>
  <c r="M183" i="1" a="1"/>
  <c r="M183" i="1" s="1"/>
  <c r="M184" i="1" a="1"/>
  <c r="M184" i="1"/>
  <c r="M185" i="1" a="1"/>
  <c r="M185" i="1" s="1"/>
  <c r="M186" i="1" a="1"/>
  <c r="M186" i="1" s="1"/>
  <c r="M187" i="1" a="1"/>
  <c r="M187" i="1" s="1"/>
  <c r="M188" i="1" a="1"/>
  <c r="M188" i="1" s="1"/>
  <c r="M189" i="1" a="1"/>
  <c r="M189" i="1" s="1"/>
  <c r="M190" i="1" a="1"/>
  <c r="M190" i="1"/>
  <c r="M191" i="1" a="1"/>
  <c r="M191" i="1" s="1"/>
  <c r="M192" i="1" a="1"/>
  <c r="M192" i="1"/>
  <c r="M193" i="1" a="1"/>
  <c r="M193" i="1" s="1"/>
  <c r="M194" i="1" a="1"/>
  <c r="M194" i="1" s="1"/>
  <c r="M195" i="1" a="1"/>
  <c r="M195" i="1" s="1"/>
  <c r="M196" i="1" a="1"/>
  <c r="M196" i="1"/>
  <c r="M197" i="1" a="1"/>
  <c r="M197" i="1" s="1"/>
  <c r="M198" i="1" a="1"/>
  <c r="M198" i="1"/>
  <c r="M199" i="1" a="1"/>
  <c r="M199" i="1" s="1"/>
  <c r="M200" i="1" a="1"/>
  <c r="M200" i="1"/>
  <c r="M201" i="1" a="1"/>
  <c r="M201" i="1" s="1"/>
  <c r="M202" i="1" a="1"/>
  <c r="M202" i="1" s="1"/>
  <c r="M203" i="1" a="1"/>
  <c r="M203" i="1" s="1"/>
  <c r="M204" i="1" a="1"/>
  <c r="M204" i="1"/>
  <c r="M205" i="1" a="1"/>
  <c r="M205" i="1" s="1"/>
  <c r="M206" i="1" a="1"/>
  <c r="M206" i="1"/>
  <c r="M207" i="1" a="1"/>
  <c r="M207" i="1" s="1"/>
  <c r="M208" i="1" a="1"/>
  <c r="M208" i="1" s="1"/>
  <c r="M209" i="1" a="1"/>
  <c r="M209" i="1" s="1"/>
  <c r="M210" i="1" a="1"/>
  <c r="M210" i="1" s="1"/>
  <c r="M211" i="1" a="1"/>
  <c r="M211" i="1" s="1"/>
  <c r="M212" i="1" a="1"/>
  <c r="M212" i="1" s="1"/>
  <c r="M213" i="1" a="1"/>
  <c r="M213" i="1" s="1"/>
  <c r="M214" i="1" a="1"/>
  <c r="M214" i="1"/>
  <c r="M215" i="1" a="1"/>
  <c r="M215" i="1" s="1"/>
  <c r="M216" i="1" a="1"/>
  <c r="M216" i="1" s="1"/>
  <c r="M217" i="1" a="1"/>
  <c r="M217" i="1" s="1"/>
  <c r="M218" i="1" a="1"/>
  <c r="M218" i="1" s="1"/>
  <c r="M219" i="1" a="1"/>
  <c r="M219" i="1" s="1"/>
  <c r="M220" i="1" a="1"/>
  <c r="M220" i="1"/>
  <c r="M221" i="1" a="1"/>
  <c r="M221" i="1" s="1"/>
  <c r="M222" i="1" a="1"/>
  <c r="M222" i="1"/>
  <c r="M223" i="1" a="1"/>
  <c r="M223" i="1" s="1"/>
  <c r="M224" i="1" a="1"/>
  <c r="M224" i="1" s="1"/>
  <c r="M225" i="1" a="1"/>
  <c r="M225" i="1" s="1"/>
  <c r="M226" i="1" a="1"/>
  <c r="M226" i="1" s="1"/>
  <c r="M227" i="1" a="1"/>
  <c r="M227" i="1" s="1"/>
  <c r="M228" i="1" a="1"/>
  <c r="M228" i="1" s="1"/>
  <c r="M229" i="1" a="1"/>
  <c r="M229" i="1" s="1"/>
  <c r="M230" i="1" a="1"/>
  <c r="M230" i="1"/>
  <c r="M231" i="1" a="1"/>
  <c r="M231" i="1" s="1"/>
  <c r="M232" i="1" a="1"/>
  <c r="M232" i="1" s="1"/>
  <c r="M233" i="1" a="1"/>
  <c r="M233" i="1" s="1"/>
  <c r="M234" i="1" a="1"/>
  <c r="M234" i="1" s="1"/>
  <c r="M235" i="1" a="1"/>
  <c r="M235" i="1" s="1"/>
  <c r="M236" i="1" a="1"/>
  <c r="M236" i="1"/>
  <c r="M237" i="1" a="1"/>
  <c r="M237" i="1" s="1"/>
  <c r="M238" i="1" a="1"/>
  <c r="M238" i="1"/>
  <c r="M239" i="1" a="1"/>
  <c r="M239" i="1" s="1"/>
  <c r="M240" i="1" a="1"/>
  <c r="M240" i="1" s="1"/>
  <c r="M241" i="1" a="1"/>
  <c r="M241" i="1" s="1"/>
  <c r="M242" i="1" a="1"/>
  <c r="M242" i="1" s="1"/>
  <c r="M243" i="1" a="1"/>
  <c r="M243" i="1" s="1"/>
  <c r="M244" i="1" a="1"/>
  <c r="M244" i="1" s="1"/>
  <c r="M245" i="1" a="1"/>
  <c r="M245" i="1" s="1"/>
  <c r="M246" i="1" a="1"/>
  <c r="M246" i="1"/>
  <c r="M247" i="1" a="1"/>
  <c r="M247" i="1" s="1"/>
  <c r="M248" i="1" a="1"/>
  <c r="M248" i="1" s="1"/>
  <c r="M249" i="1" a="1"/>
  <c r="M249" i="1" s="1"/>
  <c r="M250" i="1" a="1"/>
  <c r="M250" i="1" s="1"/>
  <c r="M251" i="1" a="1"/>
  <c r="M251" i="1" s="1"/>
  <c r="M252" i="1" a="1"/>
  <c r="M252" i="1"/>
  <c r="M253" i="1" a="1"/>
  <c r="M253" i="1" s="1"/>
  <c r="M254" i="1" a="1"/>
  <c r="M254" i="1"/>
  <c r="M255" i="1" a="1"/>
  <c r="M255" i="1" s="1"/>
  <c r="M256" i="1" a="1"/>
  <c r="M256" i="1" s="1"/>
  <c r="M257" i="1" a="1"/>
  <c r="M257" i="1" s="1"/>
  <c r="M258" i="1" a="1"/>
  <c r="M258" i="1" s="1"/>
  <c r="M259" i="1" a="1"/>
  <c r="M259" i="1" s="1"/>
  <c r="M260" i="1" a="1"/>
  <c r="M260" i="1" s="1"/>
  <c r="M261" i="1" a="1"/>
  <c r="M261" i="1" s="1"/>
  <c r="M262" i="1" a="1"/>
  <c r="M262" i="1"/>
  <c r="M263" i="1" a="1"/>
  <c r="M263" i="1" s="1"/>
  <c r="M264" i="1" a="1"/>
  <c r="M264" i="1" s="1"/>
  <c r="M265" i="1" a="1"/>
  <c r="M265" i="1" s="1"/>
  <c r="M266" i="1" a="1"/>
  <c r="M266" i="1" s="1"/>
  <c r="M267" i="1" a="1"/>
  <c r="M267" i="1" s="1"/>
  <c r="M268" i="1" a="1"/>
  <c r="M268" i="1"/>
  <c r="M269" i="1" a="1"/>
  <c r="M269" i="1" s="1"/>
  <c r="M270" i="1" a="1"/>
  <c r="M270" i="1"/>
  <c r="M271" i="1" a="1"/>
  <c r="M271" i="1" s="1"/>
  <c r="M272" i="1" a="1"/>
  <c r="M272" i="1" s="1"/>
  <c r="M273" i="1" a="1"/>
  <c r="M273" i="1" s="1"/>
  <c r="M274" i="1" a="1"/>
  <c r="M274" i="1" s="1"/>
  <c r="M275" i="1" a="1"/>
  <c r="M275" i="1" s="1"/>
  <c r="M276" i="1" a="1"/>
  <c r="M276" i="1" s="1"/>
  <c r="M277" i="1" a="1"/>
  <c r="M277" i="1" s="1"/>
  <c r="M278" i="1" a="1"/>
  <c r="M278" i="1"/>
  <c r="M279" i="1" a="1"/>
  <c r="M279" i="1" s="1"/>
  <c r="M280" i="1" a="1"/>
  <c r="M280" i="1" s="1"/>
  <c r="M281" i="1" a="1"/>
  <c r="M281" i="1" s="1"/>
  <c r="M282" i="1" a="1"/>
  <c r="M282" i="1" s="1"/>
  <c r="M283" i="1" a="1"/>
  <c r="M283" i="1" s="1"/>
  <c r="M284" i="1" a="1"/>
  <c r="M284" i="1"/>
  <c r="M285" i="1" a="1"/>
  <c r="M285" i="1" s="1"/>
  <c r="M286" i="1" a="1"/>
  <c r="M286" i="1"/>
  <c r="M287" i="1" a="1"/>
  <c r="M287" i="1" s="1"/>
  <c r="M288" i="1" a="1"/>
  <c r="M288" i="1" s="1"/>
  <c r="M289" i="1" a="1"/>
  <c r="M289" i="1" s="1"/>
  <c r="M290" i="1" a="1"/>
  <c r="M290" i="1" s="1"/>
  <c r="M291" i="1" a="1"/>
  <c r="M291" i="1" s="1"/>
  <c r="M292" i="1" a="1"/>
  <c r="M292" i="1" s="1"/>
  <c r="M293" i="1" a="1"/>
  <c r="M293" i="1" s="1"/>
  <c r="M294" i="1" a="1"/>
  <c r="M294" i="1"/>
  <c r="M295" i="1" a="1"/>
  <c r="M295" i="1" s="1"/>
  <c r="M296" i="1" a="1"/>
  <c r="M296" i="1" s="1"/>
  <c r="M297" i="1" a="1"/>
  <c r="M297" i="1" s="1"/>
  <c r="M298" i="1" a="1"/>
  <c r="M298" i="1" s="1"/>
  <c r="M299" i="1" a="1"/>
  <c r="M299" i="1" s="1"/>
  <c r="M300" i="1" a="1"/>
  <c r="M300" i="1"/>
  <c r="M301" i="1" a="1"/>
  <c r="M301" i="1" s="1"/>
  <c r="M302" i="1" a="1"/>
  <c r="M302" i="1" s="1"/>
  <c r="M303" i="1" a="1"/>
  <c r="M303" i="1" s="1"/>
  <c r="M304" i="1" a="1"/>
  <c r="M304" i="1" s="1"/>
  <c r="M305" i="1" a="1"/>
  <c r="M305" i="1" s="1"/>
  <c r="M306" i="1" a="1"/>
  <c r="M306" i="1"/>
  <c r="M307" i="1" a="1"/>
  <c r="M307" i="1" s="1"/>
  <c r="M308" i="1" a="1"/>
  <c r="M308" i="1"/>
  <c r="M309" i="1" a="1"/>
  <c r="M309" i="1" s="1"/>
  <c r="M310" i="1" a="1"/>
  <c r="M310" i="1" s="1"/>
  <c r="M311" i="1" a="1"/>
  <c r="M311" i="1" s="1"/>
  <c r="M312" i="1" a="1"/>
  <c r="M312" i="1" s="1"/>
  <c r="M313" i="1" a="1"/>
  <c r="M313" i="1" s="1"/>
  <c r="M314" i="1" a="1"/>
  <c r="M314" i="1" s="1"/>
  <c r="M315" i="1" a="1"/>
  <c r="M315" i="1" s="1"/>
  <c r="M316" i="1" a="1"/>
  <c r="M316" i="1"/>
  <c r="M317" i="1" a="1"/>
  <c r="M317" i="1" s="1"/>
  <c r="M318" i="1" a="1"/>
  <c r="M318" i="1" s="1"/>
  <c r="M319" i="1" a="1"/>
  <c r="M319" i="1" s="1"/>
  <c r="M320" i="1" a="1"/>
  <c r="M320" i="1" s="1"/>
  <c r="M321" i="1" a="1"/>
  <c r="M321" i="1" s="1"/>
  <c r="M322" i="1" a="1"/>
  <c r="M322" i="1"/>
  <c r="M323" i="1" a="1"/>
  <c r="M323" i="1" s="1"/>
  <c r="M324" i="1" a="1"/>
  <c r="M324" i="1"/>
  <c r="M325" i="1" a="1"/>
  <c r="M325" i="1" s="1"/>
  <c r="M326" i="1" a="1"/>
  <c r="M326" i="1" s="1"/>
  <c r="M327" i="1" a="1"/>
  <c r="M327" i="1" s="1"/>
  <c r="M328" i="1" a="1"/>
  <c r="M328" i="1" s="1"/>
  <c r="M329" i="1" a="1"/>
  <c r="M329" i="1" s="1"/>
  <c r="M330" i="1" a="1"/>
  <c r="M330" i="1" s="1"/>
  <c r="M331" i="1" a="1"/>
  <c r="M331" i="1" s="1"/>
  <c r="M332" i="1" a="1"/>
  <c r="M332" i="1"/>
  <c r="M333" i="1" a="1"/>
  <c r="M333" i="1" s="1"/>
  <c r="M334" i="1" a="1"/>
  <c r="M334" i="1" s="1"/>
  <c r="M335" i="1" a="1"/>
  <c r="M335" i="1" s="1"/>
  <c r="M336" i="1" a="1"/>
  <c r="M336" i="1" s="1"/>
  <c r="M337" i="1" a="1"/>
  <c r="M337" i="1" s="1"/>
  <c r="M338" i="1" a="1"/>
  <c r="M338" i="1"/>
  <c r="M339" i="1" a="1"/>
  <c r="M339" i="1" s="1"/>
  <c r="M340" i="1" a="1"/>
  <c r="M340" i="1"/>
  <c r="M341" i="1" a="1"/>
  <c r="M341" i="1" s="1"/>
  <c r="M342" i="1" a="1"/>
  <c r="M342" i="1" s="1"/>
  <c r="M343" i="1" a="1"/>
  <c r="M343" i="1" s="1"/>
  <c r="M344" i="1" a="1"/>
  <c r="M344" i="1" s="1"/>
  <c r="M345" i="1" a="1"/>
  <c r="M345" i="1" s="1"/>
  <c r="M346" i="1" a="1"/>
  <c r="M346" i="1" s="1"/>
  <c r="M347" i="1" a="1"/>
  <c r="M347" i="1" s="1"/>
  <c r="M348" i="1" a="1"/>
  <c r="M348" i="1"/>
  <c r="M349" i="1" a="1"/>
  <c r="M349" i="1" s="1"/>
  <c r="M350" i="1" a="1"/>
  <c r="M350" i="1" s="1"/>
  <c r="M351" i="1" a="1"/>
  <c r="M351" i="1" s="1"/>
  <c r="M352" i="1" a="1"/>
  <c r="M352" i="1" s="1"/>
  <c r="M353" i="1" a="1"/>
  <c r="M353" i="1" s="1"/>
  <c r="M354" i="1" a="1"/>
  <c r="M354" i="1"/>
  <c r="M355" i="1" a="1"/>
  <c r="M355" i="1" s="1"/>
  <c r="M356" i="1" a="1"/>
  <c r="M356" i="1"/>
  <c r="M357" i="1" a="1"/>
  <c r="M357" i="1" s="1"/>
  <c r="M358" i="1" a="1"/>
  <c r="M358" i="1" s="1"/>
  <c r="M359" i="1" a="1"/>
  <c r="M359" i="1" s="1"/>
  <c r="M360" i="1" a="1"/>
  <c r="M360" i="1" s="1"/>
  <c r="M361" i="1" a="1"/>
  <c r="M361" i="1" s="1"/>
  <c r="M362" i="1" a="1"/>
  <c r="M362" i="1" s="1"/>
  <c r="M363" i="1" a="1"/>
  <c r="M363" i="1" s="1"/>
  <c r="M364" i="1" a="1"/>
  <c r="M364" i="1"/>
  <c r="M365" i="1" a="1"/>
  <c r="M365" i="1" s="1"/>
  <c r="M366" i="1" a="1"/>
  <c r="M366" i="1" s="1"/>
  <c r="M367" i="1" a="1"/>
  <c r="M367" i="1" s="1"/>
  <c r="M368" i="1" a="1"/>
  <c r="M368" i="1" s="1"/>
  <c r="M369" i="1" a="1"/>
  <c r="M369" i="1" s="1"/>
  <c r="M370" i="1" a="1"/>
  <c r="M370" i="1"/>
  <c r="M371" i="1" a="1"/>
  <c r="M371" i="1" s="1"/>
  <c r="M372" i="1" a="1"/>
  <c r="M372" i="1"/>
  <c r="M373" i="1" a="1"/>
  <c r="M373" i="1" s="1"/>
  <c r="M374" i="1" a="1"/>
  <c r="M374" i="1" s="1"/>
  <c r="M375" i="1" a="1"/>
  <c r="M375" i="1" s="1"/>
  <c r="M376" i="1" a="1"/>
  <c r="M376" i="1" s="1"/>
  <c r="M377" i="1" a="1"/>
  <c r="M377" i="1" s="1"/>
  <c r="M378" i="1" a="1"/>
  <c r="M378" i="1" s="1"/>
  <c r="M379" i="1" a="1"/>
  <c r="M379" i="1" s="1"/>
  <c r="M380" i="1" a="1"/>
  <c r="M380" i="1"/>
  <c r="M381" i="1" a="1"/>
  <c r="M381" i="1" s="1"/>
  <c r="M382" i="1" a="1"/>
  <c r="M382" i="1" s="1"/>
  <c r="M383" i="1" a="1"/>
  <c r="M383" i="1" s="1"/>
  <c r="M384" i="1" a="1"/>
  <c r="M384" i="1" s="1"/>
  <c r="M385" i="1" a="1"/>
  <c r="M385" i="1" s="1"/>
  <c r="M386" i="1" a="1"/>
  <c r="M386" i="1"/>
  <c r="M387" i="1" a="1"/>
  <c r="M387" i="1" s="1"/>
  <c r="M388" i="1" a="1"/>
  <c r="M388" i="1"/>
  <c r="M389" i="1" a="1"/>
  <c r="M389" i="1" s="1"/>
  <c r="M390" i="1" a="1"/>
  <c r="M390" i="1" s="1"/>
  <c r="M391" i="1" a="1"/>
  <c r="M391" i="1" s="1"/>
  <c r="M392" i="1" a="1"/>
  <c r="M392" i="1" s="1"/>
  <c r="M393" i="1" a="1"/>
  <c r="M393" i="1" s="1"/>
  <c r="M394" i="1" a="1"/>
  <c r="M394" i="1" s="1"/>
  <c r="M395" i="1" a="1"/>
  <c r="M395" i="1" s="1"/>
  <c r="M396" i="1" a="1"/>
  <c r="M396" i="1"/>
  <c r="M397" i="1" a="1"/>
  <c r="M397" i="1" s="1"/>
  <c r="M398" i="1" a="1"/>
  <c r="M398" i="1" s="1"/>
  <c r="M399" i="1" a="1"/>
  <c r="M399" i="1" s="1"/>
  <c r="M400" i="1" a="1"/>
  <c r="M400" i="1" s="1"/>
  <c r="M401" i="1" a="1"/>
  <c r="M401" i="1" s="1"/>
  <c r="M402" i="1" a="1"/>
  <c r="M402" i="1"/>
  <c r="M403" i="1" a="1"/>
  <c r="M403" i="1" s="1"/>
  <c r="M404" i="1" a="1"/>
  <c r="M404" i="1"/>
  <c r="M405" i="1" a="1"/>
  <c r="M405" i="1" s="1"/>
  <c r="M406" i="1" a="1"/>
  <c r="M406" i="1"/>
  <c r="M407" i="1" a="1"/>
  <c r="M407" i="1" s="1"/>
  <c r="M408" i="1" a="1"/>
  <c r="M408" i="1" s="1"/>
  <c r="M409" i="1" a="1"/>
  <c r="M409" i="1" s="1"/>
  <c r="M410" i="1" a="1"/>
  <c r="M410" i="1"/>
  <c r="M411" i="1" a="1"/>
  <c r="M411" i="1" s="1"/>
  <c r="M412" i="1" a="1"/>
  <c r="M412" i="1"/>
  <c r="M413" i="1" a="1"/>
  <c r="M413" i="1" s="1"/>
  <c r="M414" i="1" a="1"/>
  <c r="M414" i="1"/>
  <c r="M415" i="1" a="1"/>
  <c r="M415" i="1" s="1"/>
  <c r="M416" i="1" a="1"/>
  <c r="M416" i="1" s="1"/>
  <c r="M417" i="1" a="1"/>
  <c r="M417" i="1" s="1"/>
  <c r="M418" i="1" a="1"/>
  <c r="M418" i="1" s="1"/>
  <c r="M419" i="1" a="1"/>
  <c r="M419" i="1" s="1"/>
  <c r="M420" i="1" a="1"/>
  <c r="M420" i="1"/>
  <c r="M421" i="1" a="1"/>
  <c r="M421" i="1" s="1"/>
  <c r="M422" i="1" a="1"/>
  <c r="M422" i="1" s="1"/>
  <c r="M423" i="1" a="1"/>
  <c r="M423" i="1" s="1"/>
  <c r="M424" i="1" a="1"/>
  <c r="M424" i="1" s="1"/>
  <c r="M425" i="1" a="1"/>
  <c r="M425" i="1" s="1"/>
  <c r="M426" i="1" a="1"/>
  <c r="M426" i="1"/>
  <c r="M427" i="1" a="1"/>
  <c r="M427" i="1" s="1"/>
  <c r="M428" i="1" a="1"/>
  <c r="M428" i="1"/>
  <c r="M429" i="1" a="1"/>
  <c r="M429" i="1" s="1"/>
  <c r="M430" i="1" a="1"/>
  <c r="M430" i="1" s="1"/>
  <c r="M431" i="1" a="1"/>
  <c r="M431" i="1" s="1"/>
  <c r="M432" i="1" a="1"/>
  <c r="M432" i="1" s="1"/>
  <c r="M433" i="1" a="1"/>
  <c r="M433" i="1" s="1"/>
  <c r="M434" i="1" a="1"/>
  <c r="M434" i="1" s="1"/>
  <c r="M435" i="1" a="1"/>
  <c r="M435" i="1" s="1"/>
  <c r="M436" i="1" a="1"/>
  <c r="M436" i="1"/>
  <c r="M437" i="1" a="1"/>
  <c r="M437" i="1" s="1"/>
  <c r="M438" i="1" a="1"/>
  <c r="M438" i="1" s="1"/>
  <c r="M439" i="1" a="1"/>
  <c r="M439" i="1" s="1"/>
  <c r="M440" i="1" a="1"/>
  <c r="M440" i="1" s="1"/>
  <c r="M441" i="1" a="1"/>
  <c r="M441" i="1" s="1"/>
  <c r="M442" i="1" a="1"/>
  <c r="M442" i="1"/>
  <c r="M443" i="1" a="1"/>
  <c r="M443" i="1" s="1"/>
  <c r="M444" i="1" a="1"/>
  <c r="M444" i="1"/>
  <c r="M445" i="1" a="1"/>
  <c r="M445" i="1" s="1"/>
  <c r="M446" i="1" a="1"/>
  <c r="M446" i="1" s="1"/>
  <c r="M447" i="1" a="1"/>
  <c r="M447" i="1" s="1"/>
  <c r="M448" i="1" a="1"/>
  <c r="M448" i="1" s="1"/>
  <c r="M449" i="1" a="1"/>
  <c r="M449" i="1" s="1"/>
  <c r="M450" i="1" a="1"/>
  <c r="M450" i="1" s="1"/>
  <c r="M451" i="1" a="1"/>
  <c r="M451" i="1" s="1"/>
  <c r="M452" i="1" a="1"/>
  <c r="M452" i="1"/>
  <c r="M453" i="1" a="1"/>
  <c r="M453" i="1" s="1"/>
  <c r="M454" i="1" a="1"/>
  <c r="M454" i="1" s="1"/>
  <c r="M455" i="1" a="1"/>
  <c r="M455" i="1" s="1"/>
  <c r="M456" i="1" a="1"/>
  <c r="M456" i="1" s="1"/>
  <c r="M457" i="1" a="1"/>
  <c r="M457" i="1" s="1"/>
  <c r="M458" i="1" a="1"/>
  <c r="M458" i="1"/>
  <c r="M459" i="1" a="1"/>
  <c r="M459" i="1" s="1"/>
  <c r="M460" i="1" a="1"/>
  <c r="M460" i="1"/>
  <c r="M461" i="1" a="1"/>
  <c r="M461" i="1" s="1"/>
  <c r="M462" i="1" a="1"/>
  <c r="M462" i="1" s="1"/>
  <c r="M463" i="1" a="1"/>
  <c r="M463" i="1" s="1"/>
  <c r="M464" i="1" a="1"/>
  <c r="M464" i="1" s="1"/>
  <c r="M465" i="1" a="1"/>
  <c r="M465" i="1" s="1"/>
  <c r="M466" i="1" a="1"/>
  <c r="M466" i="1" s="1"/>
  <c r="M467" i="1" a="1"/>
  <c r="M467" i="1" s="1"/>
  <c r="M468" i="1" a="1"/>
  <c r="M468" i="1"/>
  <c r="M469" i="1" a="1"/>
  <c r="M469" i="1" s="1"/>
  <c r="M470" i="1" a="1"/>
  <c r="M470" i="1" s="1"/>
  <c r="M471" i="1" a="1"/>
  <c r="M471" i="1" s="1"/>
  <c r="M472" i="1" a="1"/>
  <c r="M472" i="1" s="1"/>
  <c r="M473" i="1" a="1"/>
  <c r="M473" i="1" s="1"/>
  <c r="M474" i="1" a="1"/>
  <c r="M474" i="1"/>
  <c r="M475" i="1" a="1"/>
  <c r="M475" i="1" s="1"/>
  <c r="M476" i="1" a="1"/>
  <c r="M476" i="1"/>
  <c r="M477" i="1" a="1"/>
  <c r="M477" i="1" s="1"/>
  <c r="M478" i="1" a="1"/>
  <c r="M478" i="1" s="1"/>
  <c r="M479" i="1" a="1"/>
  <c r="M479" i="1" s="1"/>
  <c r="M480" i="1" a="1"/>
  <c r="M480" i="1" s="1"/>
  <c r="M481" i="1" a="1"/>
  <c r="M481" i="1" s="1"/>
  <c r="M482" i="1" a="1"/>
  <c r="M482" i="1" s="1"/>
  <c r="M483" i="1" a="1"/>
  <c r="M483" i="1" s="1"/>
  <c r="M484" i="1" a="1"/>
  <c r="M484" i="1"/>
  <c r="M485" i="1" a="1"/>
  <c r="M485" i="1" s="1"/>
  <c r="M486" i="1" a="1"/>
  <c r="M486" i="1" s="1"/>
  <c r="M487" i="1" a="1"/>
  <c r="M487" i="1" s="1"/>
  <c r="M488" i="1" a="1"/>
  <c r="M488" i="1" s="1"/>
  <c r="M489" i="1" a="1"/>
  <c r="M489" i="1" s="1"/>
  <c r="M490" i="1" a="1"/>
  <c r="M490" i="1"/>
  <c r="M491" i="1" a="1"/>
  <c r="M491" i="1" s="1"/>
  <c r="M492" i="1" a="1"/>
  <c r="M492" i="1"/>
  <c r="M493" i="1" a="1"/>
  <c r="M493" i="1" s="1"/>
  <c r="M494" i="1" a="1"/>
  <c r="M494" i="1"/>
  <c r="M495" i="1" a="1"/>
  <c r="M495" i="1" s="1"/>
  <c r="M496" i="1" a="1"/>
  <c r="M496" i="1" s="1"/>
  <c r="M497" i="1" a="1"/>
  <c r="M497" i="1" s="1"/>
  <c r="M498" i="1" a="1"/>
  <c r="M498" i="1"/>
  <c r="M499" i="1" a="1"/>
  <c r="M499" i="1" s="1"/>
  <c r="M500" i="1" a="1"/>
  <c r="M500" i="1"/>
  <c r="M501" i="1" a="1"/>
  <c r="M501" i="1" s="1"/>
  <c r="M502" i="1" a="1"/>
  <c r="M502" i="1" s="1"/>
  <c r="M503" i="1" a="1"/>
  <c r="M503" i="1" s="1"/>
  <c r="M504" i="1" a="1"/>
  <c r="M504" i="1" s="1"/>
  <c r="M505" i="1" a="1"/>
  <c r="M505" i="1" s="1"/>
  <c r="M506" i="1" a="1"/>
  <c r="M506" i="1"/>
  <c r="M507" i="1" a="1"/>
  <c r="M507" i="1" s="1"/>
  <c r="M508" i="1" a="1"/>
  <c r="M508" i="1"/>
  <c r="M509" i="1" a="1"/>
  <c r="M509" i="1" s="1"/>
  <c r="M510" i="1" a="1"/>
  <c r="M510" i="1" s="1"/>
  <c r="M511" i="1" a="1"/>
  <c r="M511" i="1" s="1"/>
  <c r="M512" i="1" a="1"/>
  <c r="M512" i="1" s="1"/>
  <c r="M513" i="1" a="1"/>
  <c r="M513" i="1" s="1"/>
  <c r="M514" i="1" a="1"/>
  <c r="M514" i="1"/>
  <c r="M515" i="1" a="1"/>
  <c r="M515" i="1" s="1"/>
  <c r="M516" i="1" a="1"/>
  <c r="M516" i="1"/>
  <c r="M517" i="1" a="1"/>
  <c r="M517" i="1" s="1"/>
  <c r="M518" i="1" a="1"/>
  <c r="M518" i="1" s="1"/>
  <c r="M519" i="1" a="1"/>
  <c r="M519" i="1" s="1"/>
  <c r="M520" i="1" a="1"/>
  <c r="M520" i="1" s="1"/>
  <c r="M521" i="1" a="1"/>
  <c r="M521" i="1" s="1"/>
  <c r="M522" i="1" a="1"/>
  <c r="M522" i="1"/>
  <c r="M523" i="1" a="1"/>
  <c r="M523" i="1" s="1"/>
  <c r="M524" i="1" a="1"/>
  <c r="M524" i="1"/>
  <c r="M525" i="1" a="1"/>
  <c r="M525" i="1" s="1"/>
  <c r="M526" i="1" a="1"/>
  <c r="M526" i="1" s="1"/>
  <c r="M527" i="1" a="1"/>
  <c r="M527" i="1" s="1"/>
  <c r="M528" i="1" a="1"/>
  <c r="M528" i="1" s="1"/>
  <c r="M529" i="1" a="1"/>
  <c r="M529" i="1" s="1"/>
  <c r="M530" i="1" a="1"/>
  <c r="M530" i="1"/>
  <c r="M531" i="1" a="1"/>
  <c r="M531" i="1" s="1"/>
  <c r="M532" i="1" a="1"/>
  <c r="M532" i="1"/>
  <c r="M533" i="1" a="1"/>
  <c r="M533" i="1" s="1"/>
  <c r="M534" i="1" a="1"/>
  <c r="M534" i="1" s="1"/>
  <c r="M535" i="1" a="1"/>
  <c r="M535" i="1" s="1"/>
  <c r="M536" i="1" a="1"/>
  <c r="M536" i="1" s="1"/>
  <c r="M537" i="1" a="1"/>
  <c r="M537" i="1" s="1"/>
  <c r="M538" i="1" a="1"/>
  <c r="M538" i="1"/>
  <c r="M539" i="1" a="1"/>
  <c r="M539" i="1" s="1"/>
  <c r="M540" i="1" a="1"/>
  <c r="M540" i="1"/>
  <c r="M541" i="1" a="1"/>
  <c r="M541" i="1" s="1"/>
  <c r="M542" i="1" a="1"/>
  <c r="M542" i="1" s="1"/>
  <c r="M543" i="1" a="1"/>
  <c r="M543" i="1" s="1"/>
  <c r="M544" i="1" a="1"/>
  <c r="M544" i="1" s="1"/>
  <c r="M545" i="1" a="1"/>
  <c r="M545" i="1" s="1"/>
  <c r="M546" i="1" a="1"/>
  <c r="M546" i="1"/>
  <c r="M547" i="1" a="1"/>
  <c r="M547" i="1" s="1"/>
  <c r="M548" i="1" a="1"/>
  <c r="M548" i="1"/>
  <c r="M549" i="1" a="1"/>
  <c r="M549" i="1" s="1"/>
  <c r="M550" i="1" a="1"/>
  <c r="M550" i="1" s="1"/>
  <c r="M551" i="1" a="1"/>
  <c r="M551" i="1" s="1"/>
  <c r="M552" i="1" a="1"/>
  <c r="M552" i="1" s="1"/>
  <c r="M553" i="1" a="1"/>
  <c r="M553" i="1" s="1"/>
  <c r="M554" i="1" a="1"/>
  <c r="M554" i="1"/>
  <c r="M555" i="1" a="1"/>
  <c r="M555" i="1" s="1"/>
  <c r="M556" i="1" a="1"/>
  <c r="M556" i="1"/>
  <c r="M557" i="1" a="1"/>
  <c r="M557" i="1" s="1"/>
  <c r="M558" i="1" a="1"/>
  <c r="M558" i="1" s="1"/>
  <c r="M559" i="1" a="1"/>
  <c r="M559" i="1" s="1"/>
  <c r="M560" i="1" a="1"/>
  <c r="M560" i="1" s="1"/>
  <c r="M561" i="1" a="1"/>
  <c r="M561" i="1" s="1"/>
  <c r="M562" i="1" a="1"/>
  <c r="M562" i="1"/>
  <c r="M563" i="1" a="1"/>
  <c r="M563" i="1" s="1"/>
  <c r="M564" i="1" a="1"/>
  <c r="M564" i="1"/>
  <c r="M565" i="1" a="1"/>
  <c r="M565" i="1" s="1"/>
  <c r="M566" i="1" a="1"/>
  <c r="M566" i="1" s="1"/>
  <c r="M567" i="1" a="1"/>
  <c r="M567" i="1" s="1"/>
  <c r="M568" i="1" a="1"/>
  <c r="M568" i="1" s="1"/>
  <c r="M569" i="1" a="1"/>
  <c r="M569" i="1" s="1"/>
  <c r="M570" i="1" a="1"/>
  <c r="M570" i="1"/>
  <c r="M571" i="1" a="1"/>
  <c r="M571" i="1" s="1"/>
  <c r="M572" i="1" a="1"/>
  <c r="M572" i="1"/>
  <c r="M573" i="1" a="1"/>
  <c r="M573" i="1" s="1"/>
  <c r="M574" i="1" a="1"/>
  <c r="M574" i="1" s="1"/>
  <c r="M575" i="1" a="1"/>
  <c r="M575" i="1" s="1"/>
  <c r="M576" i="1" a="1"/>
  <c r="M576" i="1" s="1"/>
  <c r="M577" i="1" a="1"/>
  <c r="M577" i="1" s="1"/>
  <c r="M578" i="1" a="1"/>
  <c r="M578" i="1"/>
  <c r="M579" i="1" a="1"/>
  <c r="M579" i="1" s="1"/>
  <c r="M580" i="1" a="1"/>
  <c r="M580" i="1"/>
  <c r="M581" i="1" a="1"/>
  <c r="M581" i="1" s="1"/>
  <c r="M582" i="1" a="1"/>
  <c r="M582" i="1" s="1"/>
  <c r="M583" i="1" a="1"/>
  <c r="M583" i="1" s="1"/>
  <c r="M584" i="1" a="1"/>
  <c r="M584" i="1" s="1"/>
  <c r="M585" i="1" a="1"/>
  <c r="M585" i="1" s="1"/>
  <c r="M586" i="1" a="1"/>
  <c r="M586" i="1"/>
  <c r="M587" i="1" a="1"/>
  <c r="M587" i="1" s="1"/>
  <c r="M588" i="1" a="1"/>
  <c r="M588" i="1"/>
  <c r="M589" i="1" a="1"/>
  <c r="M589" i="1" s="1"/>
  <c r="M590" i="1" a="1"/>
  <c r="M590" i="1" s="1"/>
  <c r="M591" i="1" a="1"/>
  <c r="M591" i="1" s="1"/>
  <c r="M592" i="1" a="1"/>
  <c r="M592" i="1" s="1"/>
  <c r="M593" i="1" a="1"/>
  <c r="M593" i="1" s="1"/>
  <c r="M594" i="1" a="1"/>
  <c r="M594" i="1"/>
  <c r="M595" i="1" a="1"/>
  <c r="M595" i="1" s="1"/>
  <c r="M596" i="1" a="1"/>
  <c r="M596" i="1"/>
  <c r="M597" i="1" a="1"/>
  <c r="M597" i="1" s="1"/>
  <c r="M598" i="1" a="1"/>
  <c r="M598" i="1" s="1"/>
  <c r="M599" i="1" a="1"/>
  <c r="M599" i="1" s="1"/>
  <c r="M600" i="1" a="1"/>
  <c r="M600" i="1" s="1"/>
  <c r="M601" i="1" a="1"/>
  <c r="M601" i="1" s="1"/>
  <c r="M602" i="1" a="1"/>
  <c r="M602" i="1"/>
  <c r="M603" i="1" a="1"/>
  <c r="M603" i="1" s="1"/>
  <c r="M604" i="1" a="1"/>
  <c r="M604" i="1"/>
  <c r="M605" i="1" a="1"/>
  <c r="M605" i="1" s="1"/>
  <c r="M606" i="1" a="1"/>
  <c r="M606" i="1" s="1"/>
  <c r="M607" i="1" a="1"/>
  <c r="M607" i="1" s="1"/>
  <c r="M608" i="1" a="1"/>
  <c r="M608" i="1" s="1"/>
  <c r="M609" i="1" a="1"/>
  <c r="M609" i="1" s="1"/>
  <c r="M610" i="1" a="1"/>
  <c r="M610" i="1"/>
  <c r="M611" i="1" a="1"/>
  <c r="M611" i="1" s="1"/>
  <c r="M612" i="1" a="1"/>
  <c r="M612" i="1"/>
  <c r="M613" i="1" a="1"/>
  <c r="M613" i="1" s="1"/>
  <c r="M614" i="1" a="1"/>
  <c r="M614" i="1" s="1"/>
  <c r="M615" i="1" a="1"/>
  <c r="M615" i="1" s="1"/>
  <c r="M616" i="1" a="1"/>
  <c r="M616" i="1" s="1"/>
  <c r="M617" i="1" a="1"/>
  <c r="M617" i="1"/>
  <c r="M618" i="1" a="1"/>
  <c r="M618" i="1" s="1"/>
  <c r="M619" i="1" a="1"/>
  <c r="M619" i="1"/>
  <c r="M620" i="1" a="1"/>
  <c r="M620" i="1" s="1"/>
  <c r="M621" i="1" a="1"/>
  <c r="M621" i="1"/>
  <c r="M622" i="1" a="1"/>
  <c r="M622" i="1" s="1"/>
  <c r="M623" i="1" a="1"/>
  <c r="M623" i="1"/>
  <c r="M624" i="1" a="1"/>
  <c r="M624" i="1" s="1"/>
  <c r="M625" i="1" a="1"/>
  <c r="M625" i="1"/>
  <c r="M626" i="1" a="1"/>
  <c r="M626" i="1" s="1"/>
  <c r="M627" i="1" a="1"/>
  <c r="M627" i="1"/>
  <c r="M628" i="1" a="1"/>
  <c r="M628" i="1" s="1"/>
  <c r="M629" i="1" a="1"/>
  <c r="M629" i="1"/>
  <c r="M630" i="1" a="1"/>
  <c r="M630" i="1" s="1"/>
  <c r="M631" i="1" a="1"/>
  <c r="M631" i="1"/>
  <c r="M632" i="1" a="1"/>
  <c r="M632" i="1" s="1"/>
  <c r="M633" i="1" a="1"/>
  <c r="M633" i="1"/>
  <c r="M634" i="1" a="1"/>
  <c r="M634" i="1" s="1"/>
  <c r="M635" i="1" a="1"/>
  <c r="M635" i="1"/>
  <c r="M636" i="1" a="1"/>
  <c r="M636" i="1" s="1"/>
  <c r="M637" i="1" a="1"/>
  <c r="M637" i="1"/>
  <c r="M638" i="1" a="1"/>
  <c r="M638" i="1" s="1"/>
  <c r="M639" i="1" a="1"/>
  <c r="M639" i="1"/>
  <c r="M640" i="1" a="1"/>
  <c r="M640" i="1" s="1"/>
  <c r="M641" i="1" a="1"/>
  <c r="M641" i="1"/>
  <c r="M642" i="1" a="1"/>
  <c r="M642" i="1" s="1"/>
  <c r="M643" i="1" a="1"/>
  <c r="M643" i="1"/>
  <c r="M644" i="1" a="1"/>
  <c r="M644" i="1" s="1"/>
  <c r="M645" i="1" a="1"/>
  <c r="M645" i="1" s="1"/>
  <c r="M646" i="1" a="1"/>
  <c r="M646" i="1" s="1"/>
  <c r="M647" i="1" a="1"/>
  <c r="M647" i="1"/>
  <c r="M648" i="1" a="1"/>
  <c r="M648" i="1" s="1"/>
  <c r="M649" i="1" a="1"/>
  <c r="M649" i="1"/>
  <c r="M650" i="1" a="1"/>
  <c r="M650" i="1" s="1"/>
  <c r="M651" i="1" a="1"/>
  <c r="M651" i="1"/>
  <c r="M652" i="1" a="1"/>
  <c r="M652" i="1" s="1"/>
  <c r="M653" i="1" a="1"/>
  <c r="M653" i="1" s="1"/>
  <c r="M654" i="1" a="1"/>
  <c r="M654" i="1" s="1"/>
  <c r="M655" i="1" a="1"/>
  <c r="M655" i="1"/>
  <c r="M656" i="1" a="1"/>
  <c r="M656" i="1" s="1"/>
  <c r="M657" i="1" a="1"/>
  <c r="M657" i="1"/>
  <c r="M658" i="1" a="1"/>
  <c r="M658" i="1" s="1"/>
  <c r="M659" i="1" a="1"/>
  <c r="M659" i="1"/>
  <c r="M660" i="1" a="1"/>
  <c r="M660" i="1" s="1"/>
  <c r="M661" i="1" a="1"/>
  <c r="M661" i="1" s="1"/>
  <c r="M662" i="1" a="1"/>
  <c r="M662" i="1" s="1"/>
  <c r="M663" i="1" a="1"/>
  <c r="M663" i="1"/>
  <c r="M664" i="1" a="1"/>
  <c r="M664" i="1" s="1"/>
  <c r="M665" i="1" a="1"/>
  <c r="M665" i="1"/>
  <c r="M666" i="1" a="1"/>
  <c r="M666" i="1" s="1"/>
  <c r="M667" i="1" a="1"/>
  <c r="M667" i="1"/>
  <c r="M668" i="1" a="1"/>
  <c r="M668" i="1" s="1"/>
  <c r="M669" i="1" a="1"/>
  <c r="M669" i="1" s="1"/>
  <c r="M670" i="1" a="1"/>
  <c r="M670" i="1" s="1"/>
  <c r="M671" i="1" a="1"/>
  <c r="M671" i="1"/>
  <c r="M672" i="1" a="1"/>
  <c r="M672" i="1" s="1"/>
  <c r="M673" i="1" a="1"/>
  <c r="M673" i="1"/>
  <c r="M674" i="1" a="1"/>
  <c r="M674" i="1" s="1"/>
  <c r="M675" i="1" a="1"/>
  <c r="M675" i="1"/>
  <c r="M676" i="1" a="1"/>
  <c r="M676" i="1" s="1"/>
  <c r="M677" i="1" a="1"/>
  <c r="M677" i="1" s="1"/>
  <c r="M678" i="1" a="1"/>
  <c r="M678" i="1" s="1"/>
  <c r="M679" i="1" a="1"/>
  <c r="M679" i="1"/>
  <c r="M680" i="1" a="1"/>
  <c r="M680" i="1" s="1"/>
  <c r="M681" i="1" a="1"/>
  <c r="M681" i="1"/>
  <c r="M682" i="1" a="1"/>
  <c r="M682" i="1" s="1"/>
  <c r="M683" i="1" a="1"/>
  <c r="M683" i="1"/>
  <c r="M684" i="1" a="1"/>
  <c r="M684" i="1" s="1"/>
  <c r="M685" i="1" a="1"/>
  <c r="M685" i="1" s="1"/>
  <c r="M686" i="1" a="1"/>
  <c r="M686" i="1" s="1"/>
  <c r="M687" i="1" a="1"/>
  <c r="M687" i="1"/>
  <c r="M688" i="1" a="1"/>
  <c r="M688" i="1" s="1"/>
  <c r="M689" i="1" a="1"/>
  <c r="M689" i="1"/>
  <c r="M690" i="1" a="1"/>
  <c r="M690" i="1" s="1"/>
  <c r="M691" i="1" a="1"/>
  <c r="M691" i="1"/>
  <c r="M692" i="1" a="1"/>
  <c r="M692" i="1" s="1"/>
  <c r="M693" i="1" a="1"/>
  <c r="M693" i="1" s="1"/>
  <c r="M694" i="1" a="1"/>
  <c r="M694" i="1" s="1"/>
  <c r="M695" i="1" a="1"/>
  <c r="M695" i="1"/>
  <c r="M696" i="1" a="1"/>
  <c r="M696" i="1" s="1"/>
  <c r="M697" i="1" a="1"/>
  <c r="M697" i="1"/>
  <c r="M698" i="1" a="1"/>
  <c r="M698" i="1" s="1"/>
  <c r="M699" i="1" a="1"/>
  <c r="M699" i="1"/>
  <c r="M700" i="1" a="1"/>
  <c r="M700" i="1" s="1"/>
  <c r="M701" i="1" a="1"/>
  <c r="M701" i="1" s="1"/>
  <c r="M702" i="1" a="1"/>
  <c r="M702" i="1" s="1"/>
  <c r="M703" i="1" a="1"/>
  <c r="M703" i="1"/>
  <c r="M704" i="1" a="1"/>
  <c r="M704" i="1" s="1"/>
  <c r="M705" i="1" a="1"/>
  <c r="M705" i="1"/>
  <c r="M706" i="1" a="1"/>
  <c r="M706" i="1" s="1"/>
  <c r="M707" i="1" a="1"/>
  <c r="M707" i="1"/>
  <c r="M708" i="1" a="1"/>
  <c r="M708" i="1" s="1"/>
  <c r="M709" i="1" a="1"/>
  <c r="M709" i="1" s="1"/>
  <c r="M710" i="1" a="1"/>
  <c r="M710" i="1" s="1"/>
  <c r="M711" i="1" a="1"/>
  <c r="M711" i="1"/>
  <c r="M712" i="1" a="1"/>
  <c r="M712" i="1" s="1"/>
  <c r="M713" i="1" a="1"/>
  <c r="M713" i="1"/>
  <c r="M714" i="1" a="1"/>
  <c r="M714" i="1" s="1"/>
  <c r="M715" i="1" a="1"/>
  <c r="M715" i="1"/>
  <c r="M716" i="1" a="1"/>
  <c r="M716" i="1" s="1"/>
  <c r="M717" i="1" a="1"/>
  <c r="M717" i="1" s="1"/>
  <c r="M718" i="1" a="1"/>
  <c r="M718" i="1" s="1"/>
  <c r="M719" i="1" a="1"/>
  <c r="M719" i="1"/>
  <c r="M720" i="1" a="1"/>
  <c r="M720" i="1" s="1"/>
  <c r="M721" i="1" a="1"/>
  <c r="M721" i="1"/>
  <c r="M722" i="1" a="1"/>
  <c r="M722" i="1" s="1"/>
  <c r="M723" i="1" a="1"/>
  <c r="M723" i="1"/>
  <c r="M724" i="1" a="1"/>
  <c r="M724" i="1" s="1"/>
  <c r="M725" i="1" a="1"/>
  <c r="M725" i="1" s="1"/>
  <c r="M726" i="1" a="1"/>
  <c r="M726" i="1" s="1"/>
  <c r="M727" i="1" a="1"/>
  <c r="M727" i="1"/>
  <c r="M728" i="1" a="1"/>
  <c r="M728" i="1" s="1"/>
  <c r="M729" i="1" a="1"/>
  <c r="M729" i="1"/>
  <c r="M730" i="1" a="1"/>
  <c r="M730" i="1" s="1"/>
  <c r="M731" i="1" a="1"/>
  <c r="M731" i="1"/>
  <c r="M732" i="1" a="1"/>
  <c r="M732" i="1" s="1"/>
  <c r="M733" i="1" a="1"/>
  <c r="M733" i="1" s="1"/>
  <c r="M734" i="1" a="1"/>
  <c r="M734" i="1" s="1"/>
  <c r="M735" i="1" a="1"/>
  <c r="M735" i="1"/>
  <c r="M736" i="1" a="1"/>
  <c r="M736" i="1" s="1"/>
  <c r="M737" i="1" a="1"/>
  <c r="M737" i="1"/>
  <c r="M738" i="1" a="1"/>
  <c r="M738" i="1" s="1"/>
  <c r="M739" i="1" a="1"/>
  <c r="M739" i="1" s="1"/>
  <c r="M740" i="1" a="1"/>
  <c r="M740" i="1" s="1"/>
  <c r="M741" i="1" a="1"/>
  <c r="M741" i="1" s="1"/>
  <c r="M742" i="1" a="1"/>
  <c r="M742" i="1" s="1"/>
  <c r="M743" i="1" a="1"/>
  <c r="M743" i="1"/>
  <c r="M744" i="1" a="1"/>
  <c r="M744" i="1" s="1"/>
  <c r="M745" i="1" a="1"/>
  <c r="M745" i="1"/>
  <c r="M746" i="1" a="1"/>
  <c r="M746" i="1" s="1"/>
  <c r="M747" i="1" a="1"/>
  <c r="M747" i="1"/>
  <c r="M748" i="1" a="1"/>
  <c r="M748" i="1" s="1"/>
  <c r="M749" i="1" a="1"/>
  <c r="M749" i="1" s="1"/>
  <c r="M750" i="1" a="1"/>
  <c r="M750" i="1" s="1"/>
  <c r="M751" i="1" a="1"/>
  <c r="M751" i="1"/>
  <c r="M752" i="1" a="1"/>
  <c r="M752" i="1" s="1"/>
  <c r="M753" i="1" a="1"/>
  <c r="M753" i="1"/>
  <c r="M754" i="1" a="1"/>
  <c r="M754" i="1" s="1"/>
  <c r="M755" i="1" a="1"/>
  <c r="M755" i="1"/>
  <c r="M756" i="1" a="1"/>
  <c r="M756" i="1" s="1"/>
  <c r="M757" i="1" a="1"/>
  <c r="M757" i="1" s="1"/>
  <c r="M758" i="1" a="1"/>
  <c r="M758" i="1" s="1"/>
  <c r="M759" i="1" a="1"/>
  <c r="M759" i="1"/>
  <c r="M760" i="1" a="1"/>
  <c r="M760" i="1" s="1"/>
  <c r="M761" i="1" a="1"/>
  <c r="M761" i="1"/>
  <c r="M762" i="1" a="1"/>
  <c r="M762" i="1" s="1"/>
  <c r="M763" i="1" a="1"/>
  <c r="M763" i="1" s="1"/>
  <c r="M764" i="1" a="1"/>
  <c r="M764" i="1" s="1"/>
  <c r="M765" i="1" a="1"/>
  <c r="M765" i="1" s="1"/>
  <c r="M766" i="1" a="1"/>
  <c r="M766" i="1" s="1"/>
  <c r="M767" i="1" a="1"/>
  <c r="M767" i="1"/>
  <c r="M768" i="1" a="1"/>
  <c r="M768" i="1" s="1"/>
  <c r="M769" i="1" a="1"/>
  <c r="M769" i="1"/>
  <c r="M770" i="1" a="1"/>
  <c r="M770" i="1" s="1"/>
  <c r="M771" i="1" a="1"/>
  <c r="M771" i="1"/>
  <c r="M772" i="1" a="1"/>
  <c r="M772" i="1" s="1"/>
  <c r="M773" i="1" a="1"/>
  <c r="M773" i="1" s="1"/>
  <c r="M774" i="1" a="1"/>
  <c r="M774" i="1" s="1"/>
  <c r="M775" i="1" a="1"/>
  <c r="M775" i="1"/>
  <c r="M776" i="1" a="1"/>
  <c r="M776" i="1" s="1"/>
  <c r="M777" i="1" a="1"/>
  <c r="M777" i="1"/>
  <c r="M778" i="1" a="1"/>
  <c r="M778" i="1" s="1"/>
  <c r="M779" i="1" a="1"/>
  <c r="M779" i="1" s="1"/>
  <c r="M780" i="1" a="1"/>
  <c r="M780" i="1" s="1"/>
  <c r="M781" i="1" a="1"/>
  <c r="M781" i="1" s="1"/>
  <c r="M782" i="1" a="1"/>
  <c r="M782" i="1" s="1"/>
  <c r="M783" i="1" a="1"/>
  <c r="M783" i="1"/>
  <c r="M784" i="1" a="1"/>
  <c r="M784" i="1" s="1"/>
  <c r="M785" i="1" a="1"/>
  <c r="M785" i="1"/>
  <c r="M786" i="1" a="1"/>
  <c r="M786" i="1" s="1"/>
  <c r="M787" i="1" a="1"/>
  <c r="M787" i="1" s="1"/>
  <c r="M788" i="1" a="1"/>
  <c r="M788" i="1" s="1"/>
  <c r="M789" i="1" a="1"/>
  <c r="M789" i="1" s="1"/>
  <c r="M790" i="1" a="1"/>
  <c r="M790" i="1" s="1"/>
  <c r="M791" i="1" a="1"/>
  <c r="M791" i="1"/>
  <c r="M792" i="1" a="1"/>
  <c r="M792" i="1" s="1"/>
  <c r="M793" i="1" a="1"/>
  <c r="M793" i="1"/>
  <c r="M794" i="1" a="1"/>
  <c r="M794" i="1" s="1"/>
  <c r="M795" i="1" a="1"/>
  <c r="M795" i="1" s="1"/>
  <c r="M796" i="1" a="1"/>
  <c r="M796" i="1" s="1"/>
  <c r="M797" i="1" a="1"/>
  <c r="M797" i="1" s="1"/>
  <c r="M798" i="1" a="1"/>
  <c r="M798" i="1" s="1"/>
  <c r="M799" i="1" a="1"/>
  <c r="M799" i="1"/>
  <c r="M800" i="1" a="1"/>
  <c r="M800" i="1" s="1"/>
  <c r="M801" i="1" a="1"/>
  <c r="M801" i="1"/>
  <c r="M802" i="1" a="1"/>
  <c r="M802" i="1" s="1"/>
  <c r="M803" i="1" a="1"/>
  <c r="M803" i="1" s="1"/>
  <c r="M804" i="1" a="1"/>
  <c r="M804" i="1" s="1"/>
  <c r="M805" i="1" a="1"/>
  <c r="M805" i="1" s="1"/>
  <c r="M806" i="1" a="1"/>
  <c r="M806" i="1" s="1"/>
  <c r="M807" i="1" a="1"/>
  <c r="M807" i="1"/>
  <c r="M808" i="1" a="1"/>
  <c r="M808" i="1" s="1"/>
  <c r="M809" i="1" a="1"/>
  <c r="M809" i="1"/>
  <c r="M810" i="1" a="1"/>
  <c r="M810" i="1" s="1"/>
  <c r="M811" i="1" a="1"/>
  <c r="M811" i="1" s="1"/>
  <c r="M812" i="1" a="1"/>
  <c r="M812" i="1" s="1"/>
  <c r="M813" i="1" a="1"/>
  <c r="M813" i="1" s="1"/>
  <c r="M814" i="1" a="1"/>
  <c r="M814" i="1" s="1"/>
  <c r="M815" i="1" a="1"/>
  <c r="M815" i="1"/>
  <c r="M816" i="1" a="1"/>
  <c r="M816" i="1" s="1"/>
  <c r="M817" i="1" a="1"/>
  <c r="M817" i="1"/>
  <c r="M818" i="1" a="1"/>
  <c r="M818" i="1" s="1"/>
  <c r="M819" i="1" a="1"/>
  <c r="M819" i="1" s="1"/>
  <c r="M820" i="1" a="1"/>
  <c r="M820" i="1" s="1"/>
  <c r="M821" i="1" a="1"/>
  <c r="M821" i="1" s="1"/>
  <c r="M822" i="1" a="1"/>
  <c r="M822" i="1" s="1"/>
  <c r="M823" i="1" a="1"/>
  <c r="M823" i="1"/>
  <c r="M824" i="1" a="1"/>
  <c r="M824" i="1" s="1"/>
  <c r="M825" i="1" a="1"/>
  <c r="M825" i="1"/>
  <c r="M826" i="1" a="1"/>
  <c r="M826" i="1" s="1"/>
  <c r="M827" i="1" a="1"/>
  <c r="M827" i="1" s="1"/>
  <c r="M828" i="1" a="1"/>
  <c r="M828" i="1" s="1"/>
  <c r="M829" i="1" a="1"/>
  <c r="M829" i="1" s="1"/>
  <c r="M830" i="1" a="1"/>
  <c r="M830" i="1" s="1"/>
  <c r="M831" i="1" a="1"/>
  <c r="M831" i="1"/>
  <c r="M832" i="1" a="1"/>
  <c r="M832" i="1" s="1"/>
  <c r="M833" i="1" a="1"/>
  <c r="M833" i="1"/>
  <c r="M834" i="1" a="1"/>
  <c r="M834" i="1" s="1"/>
  <c r="M835" i="1" a="1"/>
  <c r="M835" i="1" s="1"/>
  <c r="M836" i="1" a="1"/>
  <c r="M836" i="1" s="1"/>
  <c r="M837" i="1" a="1"/>
  <c r="M837" i="1" s="1"/>
  <c r="M838" i="1" a="1"/>
  <c r="M838" i="1" s="1"/>
  <c r="M839" i="1" a="1"/>
  <c r="M839" i="1"/>
  <c r="M840" i="1" a="1"/>
  <c r="M840" i="1" s="1"/>
  <c r="M841" i="1" a="1"/>
  <c r="M841" i="1"/>
  <c r="M842" i="1" a="1"/>
  <c r="M842" i="1" s="1"/>
  <c r="M843" i="1" a="1"/>
  <c r="M843" i="1" s="1"/>
  <c r="M844" i="1" a="1"/>
  <c r="M844" i="1" s="1"/>
  <c r="M845" i="1" a="1"/>
  <c r="M845" i="1" s="1"/>
  <c r="M846" i="1" a="1"/>
  <c r="M846" i="1" s="1"/>
  <c r="M847" i="1" a="1"/>
  <c r="M847" i="1"/>
  <c r="M848" i="1" a="1"/>
  <c r="M848" i="1" s="1"/>
  <c r="M849" i="1" a="1"/>
  <c r="M849" i="1"/>
  <c r="M850" i="1" a="1"/>
  <c r="M850" i="1" s="1"/>
  <c r="M851" i="1" a="1"/>
  <c r="M851" i="1" s="1"/>
  <c r="M852" i="1" a="1"/>
  <c r="M852" i="1" s="1"/>
  <c r="M853" i="1" a="1"/>
  <c r="M853" i="1" s="1"/>
  <c r="M854" i="1" a="1"/>
  <c r="M854" i="1" s="1"/>
  <c r="M855" i="1" a="1"/>
  <c r="M855" i="1"/>
  <c r="M856" i="1" a="1"/>
  <c r="M856" i="1" s="1"/>
  <c r="M857" i="1" a="1"/>
  <c r="M857" i="1"/>
  <c r="M858" i="1" a="1"/>
  <c r="M858" i="1" s="1"/>
  <c r="M859" i="1" a="1"/>
  <c r="M859" i="1" s="1"/>
  <c r="M860" i="1" a="1"/>
  <c r="M860" i="1" s="1"/>
  <c r="M861" i="1" a="1"/>
  <c r="M861" i="1" s="1"/>
  <c r="M862" i="1" a="1"/>
  <c r="M862" i="1" s="1"/>
  <c r="M863" i="1" a="1"/>
  <c r="M863" i="1"/>
  <c r="M864" i="1" a="1"/>
  <c r="M864" i="1" s="1"/>
  <c r="M865" i="1" a="1"/>
  <c r="M865" i="1"/>
  <c r="M866" i="1" a="1"/>
  <c r="M866" i="1" s="1"/>
  <c r="M867" i="1" a="1"/>
  <c r="M867" i="1"/>
  <c r="M868" i="1" a="1"/>
  <c r="M868" i="1" s="1"/>
  <c r="M869" i="1" a="1"/>
  <c r="M869" i="1"/>
  <c r="M870" i="1" a="1"/>
  <c r="M870" i="1" s="1"/>
  <c r="M871" i="1" a="1"/>
  <c r="M871" i="1"/>
  <c r="M872" i="1" a="1"/>
  <c r="M872" i="1" s="1"/>
  <c r="M873" i="1" a="1"/>
  <c r="M873" i="1"/>
  <c r="M874" i="1" a="1"/>
  <c r="M874" i="1" s="1"/>
  <c r="M875" i="1" a="1"/>
  <c r="M875" i="1"/>
  <c r="M876" i="1" a="1"/>
  <c r="M876" i="1" s="1"/>
  <c r="M877" i="1" a="1"/>
  <c r="M877" i="1"/>
  <c r="M878" i="1" a="1"/>
  <c r="M878" i="1" s="1"/>
  <c r="M879" i="1" a="1"/>
  <c r="M879" i="1"/>
  <c r="M880" i="1" a="1"/>
  <c r="M880" i="1" s="1"/>
  <c r="M881" i="1" a="1"/>
  <c r="M881" i="1"/>
  <c r="M882" i="1" a="1"/>
  <c r="M882" i="1" s="1"/>
  <c r="M883" i="1" a="1"/>
  <c r="M883" i="1"/>
  <c r="M884" i="1" a="1"/>
  <c r="M884" i="1" s="1"/>
  <c r="M885" i="1" a="1"/>
  <c r="M885" i="1"/>
  <c r="M886" i="1" a="1"/>
  <c r="M886" i="1" s="1"/>
  <c r="M887" i="1" a="1"/>
  <c r="M887" i="1"/>
  <c r="M888" i="1" a="1"/>
  <c r="M888" i="1" s="1"/>
  <c r="M889" i="1" a="1"/>
  <c r="M889" i="1"/>
  <c r="M890" i="1" a="1"/>
  <c r="M890" i="1" s="1"/>
  <c r="M891" i="1" a="1"/>
  <c r="M891" i="1"/>
  <c r="M892" i="1" a="1"/>
  <c r="M892" i="1" s="1"/>
  <c r="M893" i="1" a="1"/>
  <c r="M893" i="1"/>
  <c r="M894" i="1" a="1"/>
  <c r="M894" i="1" s="1"/>
  <c r="M895" i="1" a="1"/>
  <c r="M895" i="1"/>
  <c r="M896" i="1" a="1"/>
  <c r="M896" i="1" s="1"/>
  <c r="M897" i="1" a="1"/>
  <c r="M897" i="1"/>
  <c r="M898" i="1" a="1"/>
  <c r="M898" i="1" s="1"/>
  <c r="M899" i="1" a="1"/>
  <c r="M899" i="1"/>
  <c r="M900" i="1" a="1"/>
  <c r="M900" i="1" s="1"/>
  <c r="M901" i="1" a="1"/>
  <c r="M901" i="1"/>
  <c r="M902" i="1" a="1"/>
  <c r="M902" i="1" s="1"/>
  <c r="M903" i="1" a="1"/>
  <c r="M903" i="1"/>
  <c r="M904" i="1" a="1"/>
  <c r="M904" i="1" s="1"/>
  <c r="M905" i="1" a="1"/>
  <c r="M905" i="1"/>
  <c r="M906" i="1" a="1"/>
  <c r="M906" i="1" s="1"/>
  <c r="M907" i="1" a="1"/>
  <c r="M907" i="1"/>
  <c r="M908" i="1" a="1"/>
  <c r="M908" i="1" s="1"/>
  <c r="M909" i="1" a="1"/>
  <c r="M909" i="1"/>
  <c r="M910" i="1" a="1"/>
  <c r="M910" i="1" s="1"/>
  <c r="M911" i="1" a="1"/>
  <c r="M911" i="1"/>
  <c r="M912" i="1" a="1"/>
  <c r="M912" i="1" s="1"/>
  <c r="M913" i="1" a="1"/>
  <c r="M913" i="1"/>
  <c r="M914" i="1" a="1"/>
  <c r="M914" i="1" s="1"/>
  <c r="M915" i="1" a="1"/>
  <c r="M915" i="1"/>
  <c r="M916" i="1" a="1"/>
  <c r="M916" i="1" s="1"/>
  <c r="M917" i="1" a="1"/>
  <c r="M917" i="1"/>
  <c r="M918" i="1" a="1"/>
  <c r="M918" i="1" s="1"/>
  <c r="M919" i="1" a="1"/>
  <c r="M919" i="1"/>
  <c r="M920" i="1" a="1"/>
  <c r="M920" i="1" s="1"/>
  <c r="M921" i="1" a="1"/>
  <c r="M921" i="1"/>
  <c r="M922" i="1" a="1"/>
  <c r="M922" i="1" s="1"/>
  <c r="M923" i="1" a="1"/>
  <c r="M923" i="1"/>
  <c r="M924" i="1" a="1"/>
  <c r="M924" i="1" s="1"/>
  <c r="M925" i="1" a="1"/>
  <c r="M925" i="1"/>
  <c r="M926" i="1" a="1"/>
  <c r="M926" i="1" s="1"/>
  <c r="M927" i="1" a="1"/>
  <c r="M927" i="1"/>
  <c r="M928" i="1" a="1"/>
  <c r="M928" i="1" s="1"/>
  <c r="M929" i="1" a="1"/>
  <c r="M929" i="1"/>
  <c r="M930" i="1" a="1"/>
  <c r="M930" i="1" s="1"/>
  <c r="M931" i="1" a="1"/>
  <c r="M931" i="1"/>
  <c r="M932" i="1" a="1"/>
  <c r="M932" i="1" s="1"/>
  <c r="M933" i="1" a="1"/>
  <c r="M933" i="1"/>
  <c r="M934" i="1" a="1"/>
  <c r="M934" i="1" s="1"/>
  <c r="M935" i="1" a="1"/>
  <c r="M935" i="1"/>
  <c r="M936" i="1" a="1"/>
  <c r="M936" i="1" s="1"/>
  <c r="M937" i="1" a="1"/>
  <c r="M937" i="1"/>
  <c r="M938" i="1" a="1"/>
  <c r="M938" i="1" s="1"/>
  <c r="M939" i="1" a="1"/>
  <c r="M939" i="1"/>
  <c r="M940" i="1" a="1"/>
  <c r="M940" i="1" s="1"/>
  <c r="M941" i="1" a="1"/>
  <c r="M941" i="1"/>
  <c r="M942" i="1" a="1"/>
  <c r="M942" i="1" s="1"/>
  <c r="M943" i="1" a="1"/>
  <c r="M943" i="1"/>
  <c r="M944" i="1" a="1"/>
  <c r="M944" i="1" s="1"/>
  <c r="M945" i="1" a="1"/>
  <c r="M945" i="1"/>
  <c r="M946" i="1" a="1"/>
  <c r="M946" i="1" s="1"/>
  <c r="M947" i="1" a="1"/>
  <c r="M947" i="1"/>
  <c r="M948" i="1" a="1"/>
  <c r="M948" i="1" s="1"/>
  <c r="M949" i="1" a="1"/>
  <c r="M949" i="1"/>
  <c r="M950" i="1" a="1"/>
  <c r="M950" i="1" s="1"/>
  <c r="M951" i="1" a="1"/>
  <c r="M951" i="1"/>
  <c r="M952" i="1" a="1"/>
  <c r="M952" i="1" s="1"/>
  <c r="M953" i="1" a="1"/>
  <c r="M953" i="1"/>
  <c r="M954" i="1" a="1"/>
  <c r="M954" i="1" s="1"/>
  <c r="M955" i="1" a="1"/>
  <c r="M955" i="1"/>
  <c r="M956" i="1" a="1"/>
  <c r="M956" i="1" s="1"/>
  <c r="M957" i="1" a="1"/>
  <c r="M957" i="1"/>
  <c r="M958" i="1" a="1"/>
  <c r="M958" i="1" s="1"/>
  <c r="M959" i="1" a="1"/>
  <c r="M959" i="1"/>
  <c r="M960" i="1" a="1"/>
  <c r="M960" i="1" s="1"/>
  <c r="M961" i="1" a="1"/>
  <c r="M961" i="1"/>
  <c r="M962" i="1" a="1"/>
  <c r="M962" i="1" s="1"/>
  <c r="M963" i="1" a="1"/>
  <c r="M963" i="1"/>
  <c r="M964" i="1" a="1"/>
  <c r="M964" i="1" s="1"/>
  <c r="M965" i="1" a="1"/>
  <c r="M965" i="1"/>
  <c r="M966" i="1" a="1"/>
  <c r="M966" i="1" s="1"/>
  <c r="M967" i="1" a="1"/>
  <c r="M967" i="1"/>
  <c r="M968" i="1" a="1"/>
  <c r="M968" i="1" s="1"/>
  <c r="M969" i="1" a="1"/>
  <c r="M969" i="1"/>
  <c r="M970" i="1" a="1"/>
  <c r="M970" i="1" s="1"/>
  <c r="M971" i="1" a="1"/>
  <c r="M971" i="1"/>
  <c r="M972" i="1" a="1"/>
  <c r="M972" i="1" s="1"/>
  <c r="M973" i="1" a="1"/>
  <c r="M973" i="1"/>
  <c r="M974" i="1" a="1"/>
  <c r="M974" i="1" s="1"/>
  <c r="M975" i="1" a="1"/>
  <c r="M975" i="1"/>
  <c r="M976" i="1" a="1"/>
  <c r="M976" i="1" s="1"/>
  <c r="M977" i="1" a="1"/>
  <c r="M977" i="1"/>
  <c r="M978" i="1" a="1"/>
  <c r="M978" i="1" s="1"/>
  <c r="M979" i="1" a="1"/>
  <c r="M979" i="1"/>
  <c r="M980" i="1" a="1"/>
  <c r="M980" i="1" s="1"/>
  <c r="M981" i="1" a="1"/>
  <c r="M981" i="1"/>
  <c r="M982" i="1" a="1"/>
  <c r="M982" i="1" s="1"/>
  <c r="M983" i="1" a="1"/>
  <c r="M983" i="1"/>
  <c r="M984" i="1" a="1"/>
  <c r="M984" i="1" s="1"/>
  <c r="M985" i="1" a="1"/>
  <c r="M985" i="1"/>
  <c r="M986" i="1" a="1"/>
  <c r="M986" i="1" s="1"/>
  <c r="M987" i="1" a="1"/>
  <c r="M987" i="1"/>
  <c r="M988" i="1" a="1"/>
  <c r="M988" i="1" s="1"/>
  <c r="M989" i="1" a="1"/>
  <c r="M989" i="1"/>
  <c r="M990" i="1" a="1"/>
  <c r="M990" i="1" s="1"/>
  <c r="M991" i="1" a="1"/>
  <c r="M991" i="1"/>
  <c r="M992" i="1" a="1"/>
  <c r="M992" i="1" s="1"/>
  <c r="M993" i="1" a="1"/>
  <c r="M993" i="1"/>
  <c r="M994" i="1" a="1"/>
  <c r="M994" i="1" s="1"/>
  <c r="M995" i="1" a="1"/>
  <c r="M995" i="1"/>
  <c r="M996" i="1" a="1"/>
  <c r="M996" i="1" s="1"/>
  <c r="M997" i="1" a="1"/>
  <c r="M997" i="1"/>
  <c r="M998" i="1" a="1"/>
  <c r="M998" i="1" s="1"/>
  <c r="M999" i="1" a="1"/>
  <c r="M999" i="1"/>
  <c r="M1000" i="1" a="1"/>
  <c r="M1000" i="1" s="1"/>
  <c r="M1001" i="1" a="1"/>
  <c r="M1001" i="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<sst xmlns="http://schemas.openxmlformats.org/spreadsheetml/2006/main" count="16266" uniqueCount="50">
  <si>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</si>
  <si>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</si>
  <si>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</si>
  <si>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</si>
  <si>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</si>
  <si>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</si>
  <si>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</si>
  <si>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</si>
  <si>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</si>
  <si>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</si>
  <si>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</si>
  <si>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</si>
  <si>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</si>
  <si>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</si>
  <si>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</si>
  <si>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</si>
  <si>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</si>
  <si>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</si>
  <si>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</si>
  <si>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</si>
  <si>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</si>
  <si>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</si>
  <si>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</si>
  <si>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</si>
  <si>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</si>
  <si>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</si>
  <si>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</si>
  <si>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</si>
  <si>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</si>
  <si>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</si>
  <si>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</si>
  <si>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</si>
  <si>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</si>
  <si>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</si>
  <si>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</si>
  <si>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</si>
  <si>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Maried</t>
  </si>
  <si>
    <t>Single</t>
  </si>
  <si>
    <t>Female</t>
  </si>
  <si>
    <t>Male</t>
  </si>
  <si>
    <t>Age Brackets</t>
  </si>
  <si>
    <t>Row Labels</t>
  </si>
  <si>
    <t>Grand Total</t>
  </si>
  <si>
    <t>Average of Income</t>
  </si>
  <si>
    <t>Column Labels</t>
  </si>
  <si>
    <t>Count of Purchased Bike</t>
  </si>
  <si>
    <t>&gt; 10 Miles</t>
  </si>
  <si>
    <t>Middle Age (31-54)</t>
  </si>
  <si>
    <t>Adolescent (&lt;31)</t>
  </si>
  <si>
    <t>Old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</si>
</sst>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6"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1" fillId="10" borderId="0" xfId="19"/>
    <xf numFmtId="166" fontId="1" fillId="10" borderId="0" xfId="19"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4" tint="0.39994506668294322"/>
        </patternFill>
      </fill>
    </dxf>
  </dxfs>
  <tableStyles count="1" defaultTableStyle="TableStyleMedium2" defaultPivotStyle="PivotStyleLight16">
    <tableStyle name="Slicer Style 1" pivot="0" table="0" count="1" xr9:uid="{C6656817-744F-4C59-930D-7DB5490E98AB}">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[bike_sales_dashboard.xlsx]pivot_table!PivotTable1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8670166229221"/>
          <c:y val="0.17171296296296296"/>
          <c:w val="0.73427996500437442"/>
          <c:h val="0.72088764946048411"/>
        </c:manualLayout>
      </c:layout>
      <c:barChart>
        <c:barDir val="col"/>
        <c:grouping val="clustered"/>
        <c:varyColors val="0"/>
        <c:ser>
          <c:idx val="0"/>
          <c:order val="0"/>
          <c:tx>
            <c:strRef>
              <c:f>pivot_table!$B$3:$B$4</c:f>
              <c:strCache>
                <c:ptCount val="1"/>
                <c:pt idx="0">
                  <c:v>Yes</c:v>
                </c:pt>
              </c:strCache>
            </c:strRef>
          </c:tx>
          <c:spPr>
            <a:solidFill>
              <a:schemeClr val="accent1">
                <a:shade val="76000"/>
              </a:schemeClr>
            </a:solidFill>
            <a:ln>
              <a:noFill/>
            </a:ln>
            <a:effectLst/>
          </c:spPr>
          <c:invertIfNegative val="0"/>
          <c:cat>
            <c:strRef>
              <c:f>pivot_table!$A$5:$A$7</c:f>
              <c:strCache>
                <c:ptCount val="2"/>
                <c:pt idx="0">
                  <c:v>Male</c:v>
                </c:pt>
                <c:pt idx="1">
                  <c:v>Female</c:v>
                </c:pt>
              </c:strCache>
            </c:strRef>
          </c:cat>
          <c:val>
            <c:numRef>
              <c:f>pivot_table!$B$5:$B$7</c:f>
              <c:numCache>
                <c:formatCode>"$"#,##0</c:formatCode>
                <c:ptCount val="2"/>
                <c:pt idx="0">
                  <c:v>60123.966942148763</c:v>
                </c:pt>
                <c:pt idx="1">
                  <c:v>55774.058577405856</c:v>
                </c:pt>
              </c:numCache>
            </c:numRef>
          </c:val>
          <c:extLst>
            <c:ext xmlns:c16="http://schemas.microsoft.com/office/drawing/2014/chart" uri="{C3380CC4-5D6E-409C-BE32-E72D297353CC}">
              <c16:uniqueId val="{00000000-BEA1-4349-B79F-A1D021B77D55}"/>
            </c:ext>
          </c:extLst>
        </c:ser>
        <c:ser>
          <c:idx val="1"/>
          <c:order val="1"/>
          <c:tx>
            <c:strRef>
              <c:f>pivot_table!$C$3:$C$4</c:f>
              <c:strCache>
                <c:ptCount val="1"/>
                <c:pt idx="0">
                  <c:v>No</c:v>
                </c:pt>
              </c:strCache>
            </c:strRef>
          </c:tx>
          <c:spPr>
            <a:solidFill>
              <a:schemeClr val="accent1">
                <a:tint val="77000"/>
              </a:schemeClr>
            </a:solidFill>
            <a:ln>
              <a:noFill/>
            </a:ln>
            <a:effectLst/>
          </c:spPr>
          <c:invertIfNegative val="0"/>
          <c:cat>
            <c:strRef>
              <c:f>pivot_table!$A$5:$A$7</c:f>
              <c:strCache>
                <c:ptCount val="2"/>
                <c:pt idx="0">
                  <c:v>Male</c:v>
                </c:pt>
                <c:pt idx="1">
                  <c:v>Female</c:v>
                </c:pt>
              </c:strCache>
            </c:strRef>
          </c:cat>
          <c:val>
            <c:numRef>
              <c:f>pivot_table!$C$5:$C$7</c:f>
              <c:numCache>
                <c:formatCode>"$"#,##0</c:formatCode>
                <c:ptCount val="2"/>
                <c:pt idx="0">
                  <c:v>56208.178438661707</c:v>
                </c:pt>
                <c:pt idx="1">
                  <c:v>53440</c:v>
                </c:pt>
              </c:numCache>
            </c:numRef>
          </c:val>
          <c:extLst>
            <c:ext xmlns:c16="http://schemas.microsoft.com/office/drawing/2014/chart" uri="{C3380CC4-5D6E-409C-BE32-E72D297353CC}">
              <c16:uniqueId val="{00000001-BEA1-4349-B79F-A1D021B77D55}"/>
            </c:ext>
          </c:extLst>
        </c:ser>
        <c:dLbls>
          <c:showLegendKey val="0"/>
          <c:showVal val="0"/>
          <c:showCatName val="0"/>
          <c:showSerName val="0"/>
          <c:showPercent val="0"/>
          <c:showBubbleSize val="0"/>
        </c:dLbls>
        <c:gapWidth val="219"/>
        <c:overlap val="-27"/>
        <c:axId val="1907441919"/>
        <c:axId val="1907460159"/>
      </c:barChart>
      <c:catAx>
        <c:axId val="1907441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460159"/>
        <c:crosses val="autoZero"/>
        <c:auto val="1"/>
        <c:lblAlgn val="ctr"/>
        <c:lblOffset val="100"/>
        <c:noMultiLvlLbl val="0"/>
      </c:catAx>
      <c:valAx>
        <c:axId val="190746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Yearly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441919"/>
        <c:crosses val="autoZero"/>
        <c:crossBetween val="between"/>
      </c:valAx>
      <c:spPr>
        <a:noFill/>
        <a:ln>
          <a:noFill/>
        </a:ln>
        <a:effectLst/>
      </c:spPr>
    </c:plotArea>
    <c:legend>
      <c:legendPos val="r"/>
      <c:layout>
        <c:manualLayout>
          <c:xMode val="edge"/>
          <c:yMode val="edge"/>
          <c:x val="0.38055555555555554"/>
          <c:y val="0.19400517643627885"/>
          <c:w val="0.2166666666666666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[bike_sales_dashboard.xlsx]pivot_table!PivotTable2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Purchased Count per Commute Distance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17171296296296296"/>
          <c:w val="0.81462729658792665"/>
          <c:h val="0.62271617089530473"/>
        </c:manualLayout>
      </c:layout>
      <c:lineChart>
        <c:grouping val="standard"/>
        <c:varyColors val="0"/>
        <c:ser>
          <c:idx val="0"/>
          <c:order val="0"/>
          <c:tx>
            <c:strRef>
              <c:f>pivot_table!$I$3:$I$4</c:f>
              <c:strCache>
                <c:ptCount val="1"/>
                <c:pt idx="0">
                  <c:v>Yes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pivot_table!$H$5:$H$10</c:f>
              <c:strCache>
                <c:ptCount val="5"/>
                <c:pt idx="0">
                  <c:v>0-1 Miles</c:v>
                </c:pt>
                <c:pt idx="1">
                  <c:v>1-2 Miles</c:v>
                </c:pt>
                <c:pt idx="2">
                  <c:v>2-5 Miles</c:v>
                </c:pt>
                <c:pt idx="3">
                  <c:v>5-10 Miles</c:v>
                </c:pt>
                <c:pt idx="4">
                  <c:v>&gt; 10 Miles</c:v>
                </c:pt>
              </c:strCache>
            </c:strRef>
          </c:cat>
          <c:val>
            <c:numRef>
              <c:f>pivot_table!$I$5:$I$10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E5D4-4733-B991-C79CCD43E29D}"/>
            </c:ext>
          </c:extLst>
        </c:ser>
        <c:ser>
          <c:idx val="1"/>
          <c:order val="1"/>
          <c:tx>
            <c:strRef>
              <c:f>pivot_table!$J$3:$J$4</c:f>
              <c:strCache>
                <c:ptCount val="1"/>
                <c:pt idx="0">
                  <c:v>No</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pivot_table!$H$5:$H$10</c:f>
              <c:strCache>
                <c:ptCount val="5"/>
                <c:pt idx="0">
                  <c:v>0-1 Miles</c:v>
                </c:pt>
                <c:pt idx="1">
                  <c:v>1-2 Miles</c:v>
                </c:pt>
                <c:pt idx="2">
                  <c:v>2-5 Miles</c:v>
                </c:pt>
                <c:pt idx="3">
                  <c:v>5-10 Miles</c:v>
                </c:pt>
                <c:pt idx="4">
                  <c:v>&gt; 10 Miles</c:v>
                </c:pt>
              </c:strCache>
            </c:strRef>
          </c:cat>
          <c:val>
            <c:numRef>
              <c:f>pivot_table!$J$5:$J$10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E5D4-4733-B991-C79CCD43E29D}"/>
            </c:ext>
          </c:extLst>
        </c:ser>
        <c:dLbls>
          <c:showLegendKey val="0"/>
          <c:showVal val="0"/>
          <c:showCatName val="0"/>
          <c:showSerName val="0"/>
          <c:showPercent val="0"/>
          <c:showBubbleSize val="0"/>
        </c:dLbls>
        <c:marker val="1"/>
        <c:smooth val="0"/>
        <c:axId val="2073128367"/>
        <c:axId val="2073131247"/>
      </c:lineChart>
      <c:catAx>
        <c:axId val="207312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131247"/>
        <c:crosses val="autoZero"/>
        <c:auto val="1"/>
        <c:lblAlgn val="ctr"/>
        <c:lblOffset val="100"/>
        <c:noMultiLvlLbl val="0"/>
      </c:catAx>
      <c:valAx>
        <c:axId val="207313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128367"/>
        <c:crosses val="autoZero"/>
        <c:crossBetween val="between"/>
      </c:valAx>
      <c:spPr>
        <a:noFill/>
        <a:ln>
          <a:noFill/>
        </a:ln>
        <a:effectLst/>
      </c:spPr>
    </c:plotArea>
    <c:legend>
      <c:legendPos val="r"/>
      <c:layout>
        <c:manualLayout>
          <c:xMode val="edge"/>
          <c:yMode val="edge"/>
          <c:x val="0.51944444444444449"/>
          <c:y val="0.18937554680664914"/>
          <c:w val="0.2166666666666666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[bike_sales_dashboard.xlsx]pivot_table!PivotTable3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u="none"/>
              <a:t>Purchased Count per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15921230185209903"/>
          <c:w val="0.80907174103237101"/>
          <c:h val="0.73338857007280867"/>
        </c:manualLayout>
      </c:layout>
      <c:lineChart>
        <c:grouping val="standard"/>
        <c:varyColors val="0"/>
        <c:ser>
          <c:idx val="0"/>
          <c:order val="0"/>
          <c:tx>
            <c:strRef>
              <c:f>pivot_table!$O$3:$O$4</c:f>
              <c:strCache>
                <c:ptCount val="1"/>
                <c:pt idx="0">
                  <c:v>Yes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pivot_table!$N$5:$N$8</c:f>
              <c:strCache>
                <c:ptCount val="3"/>
                <c:pt idx="0">
                  <c:v>Adolescent (&lt;31)</c:v>
                </c:pt>
                <c:pt idx="1">
                  <c:v>Middle Age (31-54)</c:v>
                </c:pt>
                <c:pt idx="2">
                  <c:v>Old (55+)</c:v>
                </c:pt>
              </c:strCache>
            </c:strRef>
          </c:cat>
          <c:val>
            <c:numRef>
              <c:f>pivot_table!$O$5:$O$8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FAC8-4F74-BB09-332312150EF8}"/>
            </c:ext>
          </c:extLst>
        </c:ser>
        <c:ser>
          <c:idx val="1"/>
          <c:order val="1"/>
          <c:tx>
            <c:strRef>
              <c:f>pivot_table!$P$3:$P$4</c:f>
              <c:strCache>
                <c:ptCount val="1"/>
                <c:pt idx="0">
                  <c:v>No</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pivot_table!$N$5:$N$8</c:f>
              <c:strCache>
                <c:ptCount val="3"/>
                <c:pt idx="0">
                  <c:v>Adolescent (&lt;31)</c:v>
                </c:pt>
                <c:pt idx="1">
                  <c:v>Middle Age (31-54)</c:v>
                </c:pt>
                <c:pt idx="2">
                  <c:v>Old (55+)</c:v>
                </c:pt>
              </c:strCache>
            </c:strRef>
          </c:cat>
          <c:val>
            <c:numRef>
              <c:f>pivot_table!$P$5:$P$8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FAC8-4F74-BB09-332312150EF8}"/>
            </c:ext>
          </c:extLst>
        </c:ser>
        <c:dLbls>
          <c:showLegendKey val="0"/>
          <c:showVal val="0"/>
          <c:showCatName val="0"/>
          <c:showSerName val="0"/>
          <c:showPercent val="0"/>
          <c:showBubbleSize val="0"/>
        </c:dLbls>
        <c:marker val="1"/>
        <c:smooth val="0"/>
        <c:axId val="116468623"/>
        <c:axId val="116469583"/>
      </c:lineChart>
      <c:catAx>
        <c:axId val="11646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9583"/>
        <c:crosses val="autoZero"/>
        <c:auto val="1"/>
        <c:lblAlgn val="ctr"/>
        <c:lblOffset val="100"/>
        <c:noMultiLvlLbl val="0"/>
      </c:catAx>
      <c:valAx>
        <c:axId val="11646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8623"/>
        <c:crosses val="autoZero"/>
        <c:crossBetween val="between"/>
      </c:valAx>
      <c:spPr>
        <a:noFill/>
        <a:ln>
          <a:noFill/>
        </a:ln>
        <a:effectLst/>
      </c:spPr>
    </c:plotArea>
    <c:legend>
      <c:legendPos val="r"/>
      <c:layout>
        <c:manualLayout>
          <c:xMode val="edge"/>
          <c:yMode val="edge"/>
          <c:x val="0.7"/>
          <c:y val="0.17527814231554387"/>
          <c:w val="0.2"/>
          <c:h val="0.22730585583581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[bike_sales_dashboard.xlsx]pivot_table!PivotTable1</c:name>
    <c:fmtId val="16"/>
  </c:pivotSource>
  <c:chart>
    <c:title>
      <c:tx>
        <c:rich>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r>
              <a:rPr lang="en-US" b="1" u="sng"/>
              <a:t>Avg Income Per Purchase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8670166229221"/>
          <c:y val="0.17171296296296296"/>
          <c:w val="0.80707889454994586"/>
          <c:h val="0.72088764946048411"/>
        </c:manualLayout>
      </c:layout>
      <c:barChart>
        <c:barDir val="col"/>
        <c:grouping val="clustered"/>
        <c:varyColors val="0"/>
        <c:ser>
          <c:idx val="0"/>
          <c:order val="0"/>
          <c:tx>
            <c:strRef>
              <c:f>pivot_table!$B$3:$B$4</c:f>
              <c:strCache>
                <c:ptCount val="1"/>
                <c:pt idx="0">
                  <c:v>Yes</c:v>
                </c:pt>
              </c:strCache>
            </c:strRef>
          </c:tx>
          <c:spPr>
            <a:solidFill>
              <a:schemeClr val="accent1">
                <a:shade val="76000"/>
              </a:schemeClr>
            </a:solidFill>
            <a:ln>
              <a:noFill/>
            </a:ln>
            <a:effectLst/>
          </c:spPr>
          <c:invertIfNegative val="0"/>
          <c:cat>
            <c:strRef>
              <c:f>pivot_table!$A$5:$A$7</c:f>
              <c:strCache>
                <c:ptCount val="2"/>
                <c:pt idx="0">
                  <c:v>Male</c:v>
                </c:pt>
                <c:pt idx="1">
                  <c:v>Female</c:v>
                </c:pt>
              </c:strCache>
            </c:strRef>
          </c:cat>
          <c:val>
            <c:numRef>
              <c:f>pivot_table!$B$5:$B$7</c:f>
              <c:numCache>
                <c:formatCode>"$"#,##0</c:formatCode>
                <c:ptCount val="2"/>
                <c:pt idx="0">
                  <c:v>60123.966942148763</c:v>
                </c:pt>
                <c:pt idx="1">
                  <c:v>55774.058577405856</c:v>
                </c:pt>
              </c:numCache>
            </c:numRef>
          </c:val>
          <c:extLst>
            <c:ext xmlns:c16="http://schemas.microsoft.com/office/drawing/2014/chart" uri="{C3380CC4-5D6E-409C-BE32-E72D297353CC}">
              <c16:uniqueId val="{00000000-E3F7-4C70-9F07-64A2A6A26495}"/>
            </c:ext>
          </c:extLst>
        </c:ser>
        <c:ser>
          <c:idx val="1"/>
          <c:order val="1"/>
          <c:tx>
            <c:strRef>
              <c:f>pivot_table!$C$3:$C$4</c:f>
              <c:strCache>
                <c:ptCount val="1"/>
                <c:pt idx="0">
                  <c:v>No</c:v>
                </c:pt>
              </c:strCache>
            </c:strRef>
          </c:tx>
          <c:spPr>
            <a:solidFill>
              <a:schemeClr val="accent1">
                <a:tint val="77000"/>
              </a:schemeClr>
            </a:solidFill>
            <a:ln>
              <a:noFill/>
            </a:ln>
            <a:effectLst/>
          </c:spPr>
          <c:invertIfNegative val="0"/>
          <c:cat>
            <c:strRef>
              <c:f>pivot_table!$A$5:$A$7</c:f>
              <c:strCache>
                <c:ptCount val="2"/>
                <c:pt idx="0">
                  <c:v>Male</c:v>
                </c:pt>
                <c:pt idx="1">
                  <c:v>Female</c:v>
                </c:pt>
              </c:strCache>
            </c:strRef>
          </c:cat>
          <c:val>
            <c:numRef>
              <c:f>pivot_table!$C$5:$C$7</c:f>
              <c:numCache>
                <c:formatCode>"$"#,##0</c:formatCode>
                <c:ptCount val="2"/>
                <c:pt idx="0">
                  <c:v>56208.178438661707</c:v>
                </c:pt>
                <c:pt idx="1">
                  <c:v>53440</c:v>
                </c:pt>
              </c:numCache>
            </c:numRef>
          </c:val>
          <c:extLst>
            <c:ext xmlns:c16="http://schemas.microsoft.com/office/drawing/2014/chart" uri="{C3380CC4-5D6E-409C-BE32-E72D297353CC}">
              <c16:uniqueId val="{00000001-E3F7-4C70-9F07-64A2A6A26495}"/>
            </c:ext>
          </c:extLst>
        </c:ser>
        <c:dLbls>
          <c:showLegendKey val="0"/>
          <c:showVal val="0"/>
          <c:showCatName val="0"/>
          <c:showSerName val="0"/>
          <c:showPercent val="0"/>
          <c:showBubbleSize val="0"/>
        </c:dLbls>
        <c:gapWidth val="219"/>
        <c:overlap val="-27"/>
        <c:axId val="1907441919"/>
        <c:axId val="1907460159"/>
      </c:barChart>
      <c:catAx>
        <c:axId val="1907441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7460159"/>
        <c:crosses val="autoZero"/>
        <c:auto val="1"/>
        <c:lblAlgn val="ctr"/>
        <c:lblOffset val="100"/>
        <c:noMultiLvlLbl val="0"/>
      </c:catAx>
      <c:valAx>
        <c:axId val="190746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Yearly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07441919"/>
        <c:crosses val="autoZero"/>
        <c:crossBetween val="between"/>
      </c:valAx>
      <c:spPr>
        <a:noFill/>
        <a:ln>
          <a:noFill/>
        </a:ln>
        <a:effectLst/>
      </c:spPr>
    </c:plotArea>
    <c:legend>
      <c:legendPos val="r"/>
      <c:layout>
        <c:manualLayout>
          <c:xMode val="edge"/>
          <c:yMode val="edge"/>
          <c:x val="0.60679980047742899"/>
          <c:y val="0.21488921557987101"/>
          <c:w val="0.2166666666666666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[bike_sales_dashboard.xlsx]pivot_table!PivotTable2</c:name>
    <c:fmtId val="14"/>
  </c:pivotSource>
  <c:chart>
    <c:title>
      <c:tx>
        <c:rich>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r>
              <a:rPr lang="en-US" b="1" u="sng"/>
              <a:t>Purchased Count by Customer Commute Distance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17171296296296296"/>
          <c:w val="0.81462729658792665"/>
          <c:h val="0.62271617089530473"/>
        </c:manualLayout>
      </c:layout>
      <c:lineChart>
        <c:grouping val="standard"/>
        <c:varyColors val="0"/>
        <c:ser>
          <c:idx val="0"/>
          <c:order val="0"/>
          <c:tx>
            <c:strRef>
              <c:f>pivot_table!$I$3:$I$4</c:f>
              <c:strCache>
                <c:ptCount val="1"/>
                <c:pt idx="0">
                  <c:v>Yes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pivot_table!$H$5:$H$10</c:f>
              <c:strCache>
                <c:ptCount val="5"/>
                <c:pt idx="0">
                  <c:v>0-1 Miles</c:v>
                </c:pt>
                <c:pt idx="1">
                  <c:v>1-2 Miles</c:v>
                </c:pt>
                <c:pt idx="2">
                  <c:v>2-5 Miles</c:v>
                </c:pt>
                <c:pt idx="3">
                  <c:v>5-10 Miles</c:v>
                </c:pt>
                <c:pt idx="4">
                  <c:v>&gt; 10 Miles</c:v>
                </c:pt>
              </c:strCache>
            </c:strRef>
          </c:cat>
          <c:val>
            <c:numRef>
              <c:f>pivot_table!$I$5:$I$10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91A3-4923-ADD1-CF5157AEF619}"/>
            </c:ext>
          </c:extLst>
        </c:ser>
        <c:ser>
          <c:idx val="1"/>
          <c:order val="1"/>
          <c:tx>
            <c:strRef>
              <c:f>pivot_table!$J$3:$J$4</c:f>
              <c:strCache>
                <c:ptCount val="1"/>
                <c:pt idx="0">
                  <c:v>No</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pivot_table!$H$5:$H$10</c:f>
              <c:strCache>
                <c:ptCount val="5"/>
                <c:pt idx="0">
                  <c:v>0-1 Miles</c:v>
                </c:pt>
                <c:pt idx="1">
                  <c:v>1-2 Miles</c:v>
                </c:pt>
                <c:pt idx="2">
                  <c:v>2-5 Miles</c:v>
                </c:pt>
                <c:pt idx="3">
                  <c:v>5-10 Miles</c:v>
                </c:pt>
                <c:pt idx="4">
                  <c:v>&gt; 10 Miles</c:v>
                </c:pt>
              </c:strCache>
            </c:strRef>
          </c:cat>
          <c:val>
            <c:numRef>
              <c:f>pivot_table!$J$5:$J$10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91A3-4923-ADD1-CF5157AEF619}"/>
            </c:ext>
          </c:extLst>
        </c:ser>
        <c:dLbls>
          <c:showLegendKey val="0"/>
          <c:showVal val="0"/>
          <c:showCatName val="0"/>
          <c:showSerName val="0"/>
          <c:showPercent val="0"/>
          <c:showBubbleSize val="0"/>
        </c:dLbls>
        <c:marker val="1"/>
        <c:smooth val="0"/>
        <c:axId val="2073128367"/>
        <c:axId val="2073131247"/>
      </c:lineChart>
      <c:catAx>
        <c:axId val="207312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131247"/>
        <c:crosses val="autoZero"/>
        <c:auto val="1"/>
        <c:lblAlgn val="ctr"/>
        <c:lblOffset val="100"/>
        <c:noMultiLvlLbl val="0"/>
      </c:catAx>
      <c:valAx>
        <c:axId val="207313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Count of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128367"/>
        <c:crosses val="autoZero"/>
        <c:crossBetween val="between"/>
      </c:valAx>
      <c:spPr>
        <a:noFill/>
        <a:ln>
          <a:noFill/>
        </a:ln>
        <a:effectLst/>
      </c:spPr>
    </c:plotArea>
    <c:legend>
      <c:legendPos val="r"/>
      <c:layout>
        <c:manualLayout>
          <c:xMode val="edge"/>
          <c:yMode val="edge"/>
          <c:x val="0.51944444444444449"/>
          <c:y val="0.18937554680664914"/>
          <c:w val="0.2166666666666666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[bike_sales_dashboard.xlsx]pivot_table!PivotTable3</c:name>
    <c:fmtId val="13"/>
  </c:pivotSource>
  <c:chart>
    <c:title>
      <c:tx>
        <c:rich>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r>
              <a:rPr lang="en-US" b="1" u="sng"/>
              <a:t>Purchased Count per Age Brackets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15921230185209903"/>
          <c:w val="0.84411840459194942"/>
          <c:h val="0.73338857007280867"/>
        </c:manualLayout>
      </c:layout>
      <c:lineChart>
        <c:grouping val="standard"/>
        <c:varyColors val="0"/>
        <c:ser>
          <c:idx val="0"/>
          <c:order val="0"/>
          <c:tx>
            <c:strRef>
              <c:f>pivot_table!$O$3:$O$4</c:f>
              <c:strCache>
                <c:ptCount val="1"/>
                <c:pt idx="0">
                  <c:v>Yes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pivot_table!$N$5:$N$8</c:f>
              <c:strCache>
                <c:ptCount val="3"/>
                <c:pt idx="0">
                  <c:v>Adolescent (&lt;31)</c:v>
                </c:pt>
                <c:pt idx="1">
                  <c:v>Middle Age (31-54)</c:v>
                </c:pt>
                <c:pt idx="2">
                  <c:v>Old (55+)</c:v>
                </c:pt>
              </c:strCache>
            </c:strRef>
          </c:cat>
          <c:val>
            <c:numRef>
              <c:f>pivot_table!$O$5:$O$8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2FB2-4EC9-A953-ED1E472CF0BB}"/>
            </c:ext>
          </c:extLst>
        </c:ser>
        <c:ser>
          <c:idx val="1"/>
          <c:order val="1"/>
          <c:tx>
            <c:strRef>
              <c:f>pivot_table!$P$3:$P$4</c:f>
              <c:strCache>
                <c:ptCount val="1"/>
                <c:pt idx="0">
                  <c:v>No</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pivot_table!$N$5:$N$8</c:f>
              <c:strCache>
                <c:ptCount val="3"/>
                <c:pt idx="0">
                  <c:v>Adolescent (&lt;31)</c:v>
                </c:pt>
                <c:pt idx="1">
                  <c:v>Middle Age (31-54)</c:v>
                </c:pt>
                <c:pt idx="2">
                  <c:v>Old (55+)</c:v>
                </c:pt>
              </c:strCache>
            </c:strRef>
          </c:cat>
          <c:val>
            <c:numRef>
              <c:f>pivot_table!$P$5:$P$8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2FB2-4EC9-A953-ED1E472CF0BB}"/>
            </c:ext>
          </c:extLst>
        </c:ser>
        <c:dLbls>
          <c:showLegendKey val="0"/>
          <c:showVal val="0"/>
          <c:showCatName val="0"/>
          <c:showSerName val="0"/>
          <c:showPercent val="0"/>
          <c:showBubbleSize val="0"/>
        </c:dLbls>
        <c:marker val="1"/>
        <c:smooth val="0"/>
        <c:axId val="116468623"/>
        <c:axId val="116469583"/>
      </c:lineChart>
      <c:catAx>
        <c:axId val="11646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469583"/>
        <c:crosses val="autoZero"/>
        <c:auto val="1"/>
        <c:lblAlgn val="ctr"/>
        <c:lblOffset val="100"/>
        <c:noMultiLvlLbl val="0"/>
      </c:catAx>
      <c:valAx>
        <c:axId val="11646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Purchased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468623"/>
        <c:crosses val="autoZero"/>
        <c:crossBetween val="between"/>
      </c:valAx>
      <c:spPr>
        <a:noFill/>
        <a:ln>
          <a:noFill/>
        </a:ln>
        <a:effectLst/>
      </c:spPr>
    </c:plotArea>
    <c:legend>
      <c:legendPos val="r"/>
      <c:layout>
        <c:manualLayout>
          <c:xMode val="edge"/>
          <c:yMode val="edge"/>
          <c:x val="0.7"/>
          <c:y val="0.17527814231554387"/>
          <c:w val="0.2"/>
          <c:h val="0.22730585583581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9</xdr:row>
      <xdr:rowOff>22860</xdr:rowOff>
    </xdr:from>
    <xdr:to>
      <xdr:col>5</xdr:col>
      <xdr:colOff>518160</xdr:colOff>
      <xdr:row>24</xdr:row>
      <xdr:rowOff>22860</xdr:rowOff>
    </xdr:to>
    <xdr:graphicFrame macro="">
      <xdr:nvGraphicFramePr>
        <xdr:cNvPr id="2" name="Chart 1">
          <a:extLst>
            <a:ext uri="{FF2B5EF4-FFF2-40B4-BE49-F238E27FC236}">
              <a16:creationId xmlns:a16="http://schemas.microsoft.com/office/drawing/2014/main" id="{43CE458A-7C28-5256-B162-D29948F9F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11</xdr:row>
      <xdr:rowOff>137160</xdr:rowOff>
    </xdr:from>
    <xdr:to>
      <xdr:col>12</xdr:col>
      <xdr:colOff>228600</xdr:colOff>
      <xdr:row>26</xdr:row>
      <xdr:rowOff>137160</xdr:rowOff>
    </xdr:to>
    <xdr:graphicFrame macro="">
      <xdr:nvGraphicFramePr>
        <xdr:cNvPr id="3" name="Chart 2">
          <a:extLst>
            <a:ext uri="{FF2B5EF4-FFF2-40B4-BE49-F238E27FC236}">
              <a16:creationId xmlns:a16="http://schemas.microsoft.com/office/drawing/2014/main" id="{D8833806-CA54-E546-25C6-D7016B56C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502920</xdr:colOff>
      <xdr:row>10</xdr:row>
      <xdr:rowOff>45720</xdr:rowOff>
    </xdr:from>
    <xdr:to>
      <xdr:col>18</xdr:col>
      <xdr:colOff>274320</xdr:colOff>
      <xdr:row>25</xdr:row>
      <xdr:rowOff>0</xdr:rowOff>
    </xdr:to>
    <xdr:graphicFrame macro="">
      <xdr:nvGraphicFramePr>
        <xdr:cNvPr id="4" name="Chart 3">
          <a:extLst>
            <a:ext uri="{FF2B5EF4-FFF2-40B4-BE49-F238E27FC236}">
              <a16:creationId xmlns:a16="http://schemas.microsoft.com/office/drawing/2014/main" id="{328B8A63-AF8B-964D-4721-4C48F651B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0</xdr:row>
      <xdr:rowOff>15240</xdr:rowOff>
    </xdr:from>
    <xdr:to>
      <xdr:col>20</xdr:col>
      <xdr:colOff>152400</xdr:colOff>
      <xdr:row>4</xdr:row>
      <xdr:rowOff>166323</xdr:rowOff>
    </xdr:to>
    <xdr:sp macro="" textlink="">
      <xdr:nvSpPr>
        <xdr:cNvPr id="9" name="Rectangle 8">
          <a:extLst>
            <a:ext uri="{FF2B5EF4-FFF2-40B4-BE49-F238E27FC236}">
              <a16:creationId xmlns:a16="http://schemas.microsoft.com/office/drawing/2014/main" id="{F301E998-8905-43B9-A821-508785C7FB34}"/>
            </a:ext>
          </a:extLst>
        </xdr:cNvPr>
        <xdr:cNvSpPr/>
      </xdr:nvSpPr>
      <xdr:spPr>
        <a:xfrm>
          <a:off x="2293620" y="15240"/>
          <a:ext cx="10050780" cy="88260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latin typeface="Times New Roman" panose="02020603050405020304" pitchFamily="18" charset="0"/>
              <a:cs typeface="Times New Roman" panose="02020603050405020304" pitchFamily="18" charset="0"/>
            </a:rPr>
            <a:t>Bike</a:t>
          </a:r>
          <a:r>
            <a:rPr lang="en-US" sz="4400" baseline="0">
              <a:latin typeface="Times New Roman" panose="02020603050405020304" pitchFamily="18" charset="0"/>
              <a:cs typeface="Times New Roman" panose="02020603050405020304" pitchFamily="18" charset="0"/>
            </a:rPr>
            <a:t> Sales Dashboard</a:t>
          </a:r>
          <a:endParaRPr lang="en-US" sz="4400">
            <a:latin typeface="Times New Roman" panose="02020603050405020304" pitchFamily="18" charset="0"/>
            <a:cs typeface="Times New Roman" panose="02020603050405020304" pitchFamily="18" charset="0"/>
          </a:endParaRPr>
        </a:p>
      </xdr:txBody>
    </xdr:sp>
    <xdr:clientData/>
  </xdr:twoCellAnchor>
  <xdr:twoCellAnchor>
    <xdr:from>
      <xdr:col>6</xdr:col>
      <xdr:colOff>417500</xdr:colOff>
      <xdr:row>4</xdr:row>
      <xdr:rowOff>175261</xdr:rowOff>
    </xdr:from>
    <xdr:to>
      <xdr:col>13</xdr:col>
      <xdr:colOff>182879</xdr:colOff>
      <xdr:row>17</xdr:row>
      <xdr:rowOff>175261</xdr:rowOff>
    </xdr:to>
    <xdr:graphicFrame macro="">
      <xdr:nvGraphicFramePr>
        <xdr:cNvPr id="10" name="Chart 9">
          <a:extLst>
            <a:ext uri="{FF2B5EF4-FFF2-40B4-BE49-F238E27FC236}">
              <a16:creationId xmlns:a16="http://schemas.microsoft.com/office/drawing/2014/main" id="{8045596C-BAE5-4EB6-B772-CD91BA7A8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17</xdr:row>
      <xdr:rowOff>175259</xdr:rowOff>
    </xdr:from>
    <xdr:to>
      <xdr:col>20</xdr:col>
      <xdr:colOff>53341</xdr:colOff>
      <xdr:row>32</xdr:row>
      <xdr:rowOff>68298</xdr:rowOff>
    </xdr:to>
    <xdr:graphicFrame macro="">
      <xdr:nvGraphicFramePr>
        <xdr:cNvPr id="11" name="Chart 10">
          <a:extLst>
            <a:ext uri="{FF2B5EF4-FFF2-40B4-BE49-F238E27FC236}">
              <a16:creationId xmlns:a16="http://schemas.microsoft.com/office/drawing/2014/main" id="{AAD7B01F-CC67-46F6-B224-9C3065927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193790</xdr:colOff>
      <xdr:row>4</xdr:row>
      <xdr:rowOff>179680</xdr:rowOff>
    </xdr:from>
    <xdr:to>
      <xdr:col>20</xdr:col>
      <xdr:colOff>38099</xdr:colOff>
      <xdr:row>17</xdr:row>
      <xdr:rowOff>175260</xdr:rowOff>
    </xdr:to>
    <xdr:graphicFrame macro="">
      <xdr:nvGraphicFramePr>
        <xdr:cNvPr id="12" name="Chart 11">
          <a:extLst>
            <a:ext uri="{FF2B5EF4-FFF2-40B4-BE49-F238E27FC236}">
              <a16:creationId xmlns:a16="http://schemas.microsoft.com/office/drawing/2014/main" id="{41A15063-3391-4AC4-902A-7F5660B0C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464820</xdr:colOff>
      <xdr:row>17</xdr:row>
      <xdr:rowOff>7620</xdr:rowOff>
    </xdr:from>
    <xdr:to>
      <xdr:col>6</xdr:col>
      <xdr:colOff>457199</xdr:colOff>
      <xdr:row>23</xdr:row>
      <xdr:rowOff>15239</xdr:rowOff>
    </xdr:to>
    <mc:AlternateContent xmlns:mc="http://schemas.openxmlformats.org/markup-compatibility/2006">
      <mc:Choice xmlns:a14="http://schemas.microsoft.com/office/drawing/2010/main" Requires="a14">
        <xdr:graphicFrame macro="">
          <xdr:nvGraphicFramePr>
            <xdr:cNvPr id="13" name="Marital Status 2">
              <a:extLst>
                <a:ext uri="{FF2B5EF4-FFF2-40B4-BE49-F238E27FC236}">
                  <a16:creationId xmlns:a16="http://schemas.microsoft.com/office/drawing/2014/main" id="{C52EBBF7-709B-4D9C-B793-78E932BBF28F}"/>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dr:sp macro="" textlink="">
          <xdr:nvSpPr>
            <xdr:cNvPr id="0" name=""/>
            <xdr:cNvSpPr>
              <a:spLocks noTextEdit="1"/>
            </xdr:cNvSpPr>
          </xdr:nvSpPr>
          <xdr:spPr>
            <a:xfrm>
              <a:off x="2293620" y="3116580"/>
              <a:ext cx="1821179"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472440</xdr:colOff>
      <xdr:row>4</xdr:row>
      <xdr:rowOff>175260</xdr:rowOff>
    </xdr:from>
    <xdr:to>
      <xdr:col>6</xdr:col>
      <xdr:colOff>464820</xdr:colOff>
      <xdr:row>17</xdr:row>
      <xdr:rowOff>7620</xdr:rowOff>
    </xdr:to>
    <mc:AlternateContent xmlns:mc="http://schemas.openxmlformats.org/markup-compatibility/2006">
      <mc:Choice xmlns:a14="http://schemas.microsoft.com/office/drawing/2010/main" Requires="a14">
        <xdr:graphicFrame macro="">
          <xdr:nvGraphicFramePr>
            <xdr:cNvPr id="14" name="Education 2">
              <a:extLst>
                <a:ext uri="{FF2B5EF4-FFF2-40B4-BE49-F238E27FC236}">
                  <a16:creationId xmlns:a16="http://schemas.microsoft.com/office/drawing/2014/main" id="{72626386-D660-4190-98F8-5817F15BA5F1}"/>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dr:sp macro="" textlink="">
          <xdr:nvSpPr>
            <xdr:cNvPr id="0" name=""/>
            <xdr:cNvSpPr>
              <a:spLocks noTextEdit="1"/>
            </xdr:cNvSpPr>
          </xdr:nvSpPr>
          <xdr:spPr>
            <a:xfrm>
              <a:off x="2301240" y="906780"/>
              <a:ext cx="182118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464726</xdr:colOff>
      <xdr:row>23</xdr:row>
      <xdr:rowOff>7620</xdr:rowOff>
    </xdr:from>
    <xdr:to>
      <xdr:col>6</xdr:col>
      <xdr:colOff>449202</xdr:colOff>
      <xdr:row>32</xdr:row>
      <xdr:rowOff>76200</xdr:rowOff>
    </xdr:to>
    <mc:AlternateContent xmlns:mc="http://schemas.openxmlformats.org/markup-compatibility/2006">
      <mc:Choice xmlns:a14="http://schemas.microsoft.com/office/drawing/2010/main" Requires="a14">
        <xdr:graphicFrame macro="">
          <xdr:nvGraphicFramePr>
            <xdr:cNvPr id="15" name="Region 2">
              <a:extLst>
                <a:ext uri="{FF2B5EF4-FFF2-40B4-BE49-F238E27FC236}">
                  <a16:creationId xmlns:a16="http://schemas.microsoft.com/office/drawing/2014/main" id="{93CF3167-982C-4D72-BC36-D9EE8A56C60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293526" y="4213860"/>
              <a:ext cx="1813276"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464820</xdr:colOff>
      <xdr:row>4</xdr:row>
      <xdr:rowOff>175260</xdr:rowOff>
    </xdr:from>
    <xdr:to>
      <xdr:col>20</xdr:col>
      <xdr:colOff>137160</xdr:colOff>
      <xdr:row>32</xdr:row>
      <xdr:rowOff>68580</xdr:rowOff>
    </xdr:to>
    <xdr:sp macro="" textlink="">
      <xdr:nvSpPr>
        <xdr:cNvPr id="16" name="Rectangle 15">
          <a:extLst>
            <a:ext uri="{FF2B5EF4-FFF2-40B4-BE49-F238E27FC236}">
              <a16:creationId xmlns:a16="http://schemas.microsoft.com/office/drawing/2014/main" id="{07DCF2F1-E2E4-23F3-EB98-27BD04EE1997}"/>
            </a:ext>
          </a:extLst>
        </xdr:cNvPr>
        <xdr:cNvSpPr/>
      </xdr:nvSpPr>
      <xdr:spPr>
        <a:xfrm>
          <a:off x="2293620" y="906780"/>
          <a:ext cx="10035540" cy="5013960"/>
        </a:xfrm>
        <a:prstGeom prst="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aiser" refreshedDate="46191.710166087963" createdVersion="8" refreshedVersion="8" minRefreshableVersion="3" recordCount="1000" xr:uid="{EBA3EED3-FD2C-42A2-8A75-F5161811E311}">
  <cacheSource type="worksheet">
    <worksheetSource ref="A1:N1001" sheet="Clean_data"/>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31-54)"/>
        <s v="Old (55+)"/>
        <s v="Adolescent (&lt;31)"/>
        <s v="Old(55+)" u="1"/>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984730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2312D2-1901-4549-8F5A-E2E868905ABE}"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3:Q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8">
        <item m="1" x="6"/>
        <item x="2"/>
        <item m="1" x="4"/>
        <item x="0"/>
        <item m="1" x="5"/>
        <item x="1"/>
        <item m="1" x="3"/>
        <item t="default"/>
      </items>
    </pivotField>
    <pivotField axis="axisCol" dataField="1" showAll="0" sortType="descending">
      <items count="3">
        <item x="1"/>
        <item x="0"/>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ED98A4-8358-4A79-8058-2C3064A7F521}"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3:K1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name="Purchased Bike ?" axis="axisCol" dataField="1" showAll="0" sortType="descending">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4" format="8" series="1">
      <pivotArea type="data" outline="0" fieldPosition="0">
        <references count="2">
          <reference field="4294967294" count="1" selected="0">
            <x v="0"/>
          </reference>
          <reference field="13" count="1" selected="0">
            <x v="0"/>
          </reference>
        </references>
      </pivotArea>
    </chartFormat>
    <chartFormat chart="1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DBBB3-2533-470C-9DB6-36549D414BCC}"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7" firstHeaderRow="1" firstDataRow="2" firstDataCol="1"/>
  <pivotFields count="14">
    <pivotField showAll="0"/>
    <pivotField showAll="0">
      <items count="3">
        <item x="0"/>
        <item x="1"/>
        <item t="default"/>
      </items>
    </pivotField>
    <pivotField axis="axisRow" showAll="0" sortType="descending">
      <items count="3">
        <item x="1"/>
        <item x="0"/>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name="Purchased Bike ?" axis="axisCol" showAll="0" sortType="de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A69C2C3-E0BB-4A94-9DF7-48CEDA90B33B}" sourceName="Marital Status">
  <pivotTables>
    <pivotTable tabId="3" name="PivotTable2"/>
    <pivotTable tabId="3" name="PivotTable1"/>
    <pivotTable tabId="3" name="PivotTable3"/>
  </pivotTables>
  <data>
    <tabular pivotCacheId="19847304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5DF8972-6339-468E-B1D3-F296F81B4DF1}" sourceName="Education">
  <pivotTables>
    <pivotTable tabId="3" name="PivotTable2"/>
    <pivotTable tabId="3" name="PivotTable1"/>
    <pivotTable tabId="3" name="PivotTable3"/>
  </pivotTables>
  <data>
    <tabular pivotCacheId="19847304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581A90-4174-4B8F-90B3-A0EDE06E39C3}" sourceName="Region">
  <pivotTables>
    <pivotTable tabId="3" name="PivotTable2"/>
    <pivotTable tabId="3" name="PivotTable1"/>
    <pivotTable tabId="3" name="PivotTable3"/>
  </pivotTables>
  <data>
    <tabular pivotCacheId="19847304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2" xr10:uid="{62FAFD6D-A013-448D-AD32-4419223EA947}" cache="Slicer_Marital_Status" caption="Marital Status" rowHeight="234950"/>
  <slicer name="Education 2" xr10:uid="{B64411A7-B76E-4049-B736-D8F73E517F70}" cache="Slicer_Education" caption="Education" rowHeight="234950"/>
  <slicer name="Region 2" xr10:uid="{B99EEF7D-D889-4D87-AC1C-5FA1DE82306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4902-A3CF-46FC-82EB-9B746943522B}">
  <dimension ref="A1:M1027"/>
  <sheetViews>
    <sheetView workbookViewId="0">
      <selection activeCell="Q13" sqref="Q13"/>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M2" sqref="M2:M1001"/>
    </sheetView>
  </sheetViews>
  <sheetFormatPr defaultColWidth="11.88671875" defaultRowHeight="14.4" x14ac:dyDescent="0.3"/>
  <cols>
    <col min="4" max="4" width="11.88671875" style="3"/>
    <col min="14" max="14" width="15.44140625" customWidth="1"/>
  </cols>
  <sheetData>
    <row r="1" spans="1:14" ht="18.600000000000001" customHeight="1" x14ac:dyDescent="0.3">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3">
      <c r="A2">
        <v>12496</v>
      </c>
      <c r="B2" t="s">
        <v>36</v>
      </c>
      <c r="C2" t="s">
        <v>38</v>
      </c>
      <c r="D2" s="3">
        <v>40000</v>
      </c>
      <c r="E2">
        <v>1</v>
      </c>
      <c r="F2" t="s">
        <v>13</v>
      </c>
      <c r="G2" t="s">
        <v>14</v>
      </c>
      <c r="H2" t="s">
        <v>15</v>
      </c>
      <c r="I2">
        <v>0</v>
      </c>
      <c r="J2" t="s">
        <v>16</v>
      </c>
      <c r="K2" t="s">
        <v>17</v>
      </c>
      <c r="L2">
        <v>42</v>
      </c>
      <c r="M2" t="str" cm="1">
        <f t="array" ref="M2">_xlfn.IFS(L2&gt;54, "Old (55+)", L2&gt;=31, "Middle Age (31-54)", L2&lt;31, "Adolescent (&lt;31)")</f>
        <v>Middle Age (31-54)</v>
      </c>
      <c r="N2" t="s">
        <v>18</v>
      </c>
    </row>
    <row r="3" spans="1:14" x14ac:dyDescent="0.3">
      <c r="A3">
        <v>24107</v>
      </c>
      <c r="B3" t="s">
        <v>36</v>
      </c>
      <c r="C3" t="s">
        <v>39</v>
      </c>
      <c r="D3" s="3">
        <v>30000</v>
      </c>
      <c r="E3">
        <v>3</v>
      </c>
      <c r="F3" t="s">
        <v>19</v>
      </c>
      <c r="G3" t="s">
        <v>20</v>
      </c>
      <c r="H3" t="s">
        <v>15</v>
      </c>
      <c r="I3">
        <v>1</v>
      </c>
      <c r="J3" t="s">
        <v>16</v>
      </c>
      <c r="K3" t="s">
        <v>17</v>
      </c>
      <c r="L3">
        <v>43</v>
      </c>
      <c r="M3" t="str" cm="1">
        <f t="array" ref="M3">_xlfn.IFS(L3&gt;54, "Old (55+)", L3&gt;=31, "Middle Age (31-54)", L3&lt;31, "Adolescent (&lt;31)")</f>
        <v>Middle Age (31-54)</v>
      </c>
      <c r="N3" t="s">
        <v>18</v>
      </c>
    </row>
    <row r="4" spans="1:14" x14ac:dyDescent="0.3">
      <c r="A4">
        <v>14177</v>
      </c>
      <c r="B4" t="s">
        <v>36</v>
      </c>
      <c r="C4" t="s">
        <v>39</v>
      </c>
      <c r="D4" s="3">
        <v>80000</v>
      </c>
      <c r="E4">
        <v>5</v>
      </c>
      <c r="F4" t="s">
        <v>19</v>
      </c>
      <c r="G4" t="s">
        <v>21</v>
      </c>
      <c r="H4" t="s">
        <v>18</v>
      </c>
      <c r="I4">
        <v>2</v>
      </c>
      <c r="J4" t="s">
        <v>22</v>
      </c>
      <c r="K4" t="s">
        <v>17</v>
      </c>
      <c r="L4">
        <v>60</v>
      </c>
      <c r="M4" t="str" cm="1">
        <f t="array" ref="M4">_xlfn.IFS(L4&gt;54, "Old (55+)", L4&gt;=31, "Middle Age (31-54)", L4&lt;31, "Adolescent (&lt;31)")</f>
        <v>Old (55+)</v>
      </c>
      <c r="N4" t="s">
        <v>18</v>
      </c>
    </row>
    <row r="5" spans="1:14" x14ac:dyDescent="0.3">
      <c r="A5">
        <v>24381</v>
      </c>
      <c r="B5" t="s">
        <v>37</v>
      </c>
      <c r="C5" t="s">
        <v>39</v>
      </c>
      <c r="D5" s="3">
        <v>70000</v>
      </c>
      <c r="E5">
        <v>0</v>
      </c>
      <c r="F5" t="s">
        <v>13</v>
      </c>
      <c r="G5" t="s">
        <v>21</v>
      </c>
      <c r="H5" t="s">
        <v>15</v>
      </c>
      <c r="I5">
        <v>1</v>
      </c>
      <c r="J5" t="s">
        <v>23</v>
      </c>
      <c r="K5" t="s">
        <v>24</v>
      </c>
      <c r="L5">
        <v>41</v>
      </c>
      <c r="M5" t="str" cm="1">
        <f t="array" ref="M5">_xlfn.IFS(L5&gt;54, "Old (55+)", L5&gt;=31, "Middle Age (31-54)", L5&lt;31, "Adolescent (&lt;31)")</f>
        <v>Middle Age (31-54)</v>
      </c>
      <c r="N5" t="s">
        <v>15</v>
      </c>
    </row>
    <row r="6" spans="1:14" x14ac:dyDescent="0.3">
      <c r="A6">
        <v>25597</v>
      </c>
      <c r="B6" t="s">
        <v>37</v>
      </c>
      <c r="C6" t="s">
        <v>39</v>
      </c>
      <c r="D6" s="3">
        <v>30000</v>
      </c>
      <c r="E6">
        <v>0</v>
      </c>
      <c r="F6" t="s">
        <v>13</v>
      </c>
      <c r="G6" t="s">
        <v>20</v>
      </c>
      <c r="H6" t="s">
        <v>18</v>
      </c>
      <c r="I6">
        <v>0</v>
      </c>
      <c r="J6" t="s">
        <v>16</v>
      </c>
      <c r="K6" t="s">
        <v>17</v>
      </c>
      <c r="L6">
        <v>36</v>
      </c>
      <c r="M6" t="str" cm="1">
        <f t="array" ref="M6">_xlfn.IFS(L6&gt;54, "Old (55+)", L6&gt;=31, "Middle Age (31-54)", L6&lt;31, "Adolescent (&lt;31)")</f>
        <v>Middle Age (31-54)</v>
      </c>
      <c r="N6" t="s">
        <v>15</v>
      </c>
    </row>
    <row r="7" spans="1:14" x14ac:dyDescent="0.3">
      <c r="A7">
        <v>13507</v>
      </c>
      <c r="B7" t="s">
        <v>36</v>
      </c>
      <c r="C7" t="s">
        <v>38</v>
      </c>
      <c r="D7" s="3">
        <v>10000</v>
      </c>
      <c r="E7">
        <v>2</v>
      </c>
      <c r="F7" t="s">
        <v>19</v>
      </c>
      <c r="G7" t="s">
        <v>25</v>
      </c>
      <c r="H7" t="s">
        <v>15</v>
      </c>
      <c r="I7">
        <v>0</v>
      </c>
      <c r="J7" t="s">
        <v>26</v>
      </c>
      <c r="K7" t="s">
        <v>17</v>
      </c>
      <c r="L7">
        <v>50</v>
      </c>
      <c r="M7" t="str" cm="1">
        <f t="array" ref="M7">_xlfn.IFS(L7&gt;54, "Old (55+)", L7&gt;=31, "Middle Age (31-54)", L7&lt;31, "Adolescent (&lt;31)")</f>
        <v>Middle Age (31-54)</v>
      </c>
      <c r="N7" t="s">
        <v>18</v>
      </c>
    </row>
    <row r="8" spans="1:14" x14ac:dyDescent="0.3">
      <c r="A8">
        <v>27974</v>
      </c>
      <c r="B8" t="s">
        <v>37</v>
      </c>
      <c r="C8" t="s">
        <v>39</v>
      </c>
      <c r="D8" s="3">
        <v>160000</v>
      </c>
      <c r="E8">
        <v>2</v>
      </c>
      <c r="F8" t="s">
        <v>27</v>
      </c>
      <c r="G8" t="s">
        <v>28</v>
      </c>
      <c r="H8" t="s">
        <v>15</v>
      </c>
      <c r="I8">
        <v>4</v>
      </c>
      <c r="J8" t="s">
        <v>16</v>
      </c>
      <c r="K8" t="s">
        <v>24</v>
      </c>
      <c r="L8">
        <v>33</v>
      </c>
      <c r="M8" t="str" cm="1">
        <f t="array" ref="M8">_xlfn.IFS(L8&gt;54, "Old (55+)", L8&gt;=31, "Middle Age (31-54)", L8&lt;31, "Adolescent (&lt;31)")</f>
        <v>Middle Age (31-54)</v>
      </c>
      <c r="N8" t="s">
        <v>15</v>
      </c>
    </row>
    <row r="9" spans="1:14" x14ac:dyDescent="0.3">
      <c r="A9">
        <v>19364</v>
      </c>
      <c r="B9" t="s">
        <v>36</v>
      </c>
      <c r="C9" t="s">
        <v>39</v>
      </c>
      <c r="D9" s="3">
        <v>40000</v>
      </c>
      <c r="E9">
        <v>1</v>
      </c>
      <c r="F9" t="s">
        <v>13</v>
      </c>
      <c r="G9" t="s">
        <v>14</v>
      </c>
      <c r="H9" t="s">
        <v>15</v>
      </c>
      <c r="I9">
        <v>0</v>
      </c>
      <c r="J9" t="s">
        <v>16</v>
      </c>
      <c r="K9" t="s">
        <v>17</v>
      </c>
      <c r="L9">
        <v>43</v>
      </c>
      <c r="M9" t="str" cm="1">
        <f t="array" ref="M9">_xlfn.IFS(L9&gt;54, "Old (55+)", L9&gt;=31, "Middle Age (31-54)", L9&lt;31, "Adolescent (&lt;31)")</f>
        <v>Middle Age (31-54)</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_xlfn.IFS(L10&gt;54, "Old (55+)", L10&gt;=31, "Middle Age (31-54)", L10&lt;31, "Adolescent (&lt;31)")</f>
        <v>Old (55+)</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_xlfn.IFS(L11&gt;54, "Old (55+)", L11&gt;=31, "Middle Age (31-54)", L11&lt;31, "Adolescent (&lt;31)")</f>
        <v>Middle Age (31-54)</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_xlfn.IFS(L12&gt;54, "Old (55+)", L12&gt;=31, "Middle Age (31-54)", L12&lt;31, "Adolescent (&lt;31)")</f>
        <v>Middle Age (31-54)</v>
      </c>
      <c r="N12" t="s">
        <v>15</v>
      </c>
    </row>
    <row r="13" spans="1:14" x14ac:dyDescent="0.3">
      <c r="A13">
        <v>12697</v>
      </c>
      <c r="B13" t="s">
        <v>37</v>
      </c>
      <c r="C13" t="s">
        <v>38</v>
      </c>
      <c r="D13" s="3">
        <v>90000</v>
      </c>
      <c r="E13">
        <v>0</v>
      </c>
      <c r="F13" t="s">
        <v>13</v>
      </c>
      <c r="G13" t="s">
        <v>21</v>
      </c>
      <c r="H13" t="s">
        <v>18</v>
      </c>
      <c r="I13">
        <v>4</v>
      </c>
      <c r="J13" t="s">
        <v>46</v>
      </c>
      <c r="K13" t="s">
        <v>24</v>
      </c>
      <c r="L13">
        <v>36</v>
      </c>
      <c r="M13" t="str" cm="1">
        <f t="array" ref="M13">_xlfn.IFS(L13&gt;54, "Old (55+)", L13&gt;=31, "Middle Age (31-54)", L13&lt;31, "Adolescent (&lt;31)")</f>
        <v>Middle Age (31-54)</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_xlfn.IFS(L14&gt;54, "Old (55+)", L14&gt;=31, "Middle Age (31-54)", L14&lt;31, "Adolescent (&lt;31)")</f>
        <v>Old (55+)</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_xlfn.IFS(L15&gt;54, "Old (55+)", L15&gt;=31, "Middle Age (31-54)", L15&lt;31, "Adolescent (&lt;31)")</f>
        <v>Middle Age (31-54)</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_xlfn.IFS(L16&gt;54, "Old (55+)", L16&gt;=31, "Middle Age (31-54)", L16&lt;31, "Adolescent (&lt;31)")</f>
        <v>Middle Age (31-54)</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_xlfn.IFS(L17&gt;54, "Old (55+)", L17&gt;=31, "Middle Age (31-54)", L17&lt;31, "Adolescent (&lt;31)")</f>
        <v>Middle Age (31-54)</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_xlfn.IFS(L18&gt;54, "Old (55+)", L18&gt;=31, "Middle Age (31-54)", L18&lt;31, "Adolescent (&lt;31)")</f>
        <v>Old (55+)</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_xlfn.IFS(L19&gt;54, "Old (55+)", L19&gt;=31, "Middle Age (31-54)", L19&lt;31, "Adolescent (&lt;31)")</f>
        <v>Middle Age (31-54)</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_xlfn.IFS(L20&gt;54, "Old (55+)", L20&gt;=31, "Middle Age (31-54)", L20&lt;31, "Adolescent (&lt;31)")</f>
        <v>Middle Age (31-54)</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_xlfn.IFS(L21&gt;54, "Old (55+)", L21&gt;=31, "Middle Age (31-54)", L21&lt;31, "Adolescent (&lt;31)")</f>
        <v>Old (55+)</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_xlfn.IFS(L22&gt;54, "Old (55+)", L22&gt;=31, "Middle Age (31-54)", L22&lt;31, "Adolescent (&lt;31)")</f>
        <v>Middle Age (31-54)</v>
      </c>
      <c r="N22" t="s">
        <v>15</v>
      </c>
    </row>
    <row r="23" spans="1:14" x14ac:dyDescent="0.3">
      <c r="A23">
        <v>21564</v>
      </c>
      <c r="B23" t="s">
        <v>37</v>
      </c>
      <c r="C23" t="s">
        <v>38</v>
      </c>
      <c r="D23" s="3">
        <v>80000</v>
      </c>
      <c r="E23">
        <v>0</v>
      </c>
      <c r="F23" t="s">
        <v>13</v>
      </c>
      <c r="G23" t="s">
        <v>21</v>
      </c>
      <c r="H23" t="s">
        <v>15</v>
      </c>
      <c r="I23">
        <v>4</v>
      </c>
      <c r="J23" t="s">
        <v>46</v>
      </c>
      <c r="K23" t="s">
        <v>24</v>
      </c>
      <c r="L23">
        <v>35</v>
      </c>
      <c r="M23" t="str" cm="1">
        <f t="array" ref="M23">_xlfn.IFS(L23&gt;54, "Old (55+)", L23&gt;=31, "Middle Age (31-54)", L23&lt;31, "Adolescent (&lt;31)")</f>
        <v>Middle Age (31-54)</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_xlfn.IFS(L24&gt;54, "Old (55+)", L24&gt;=31, "Middle Age (31-54)", L24&lt;31, "Adolescent (&lt;31)")</f>
        <v>Middle Age (31-54)</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_xlfn.IFS(L25&gt;54, "Old (55+)", L25&gt;=31, "Middle Age (31-54)", L25&lt;31, "Adolescent (&lt;31)")</f>
        <v>Old (55+)</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_xlfn.IFS(L26&gt;54, "Old (55+)", L26&gt;=31, "Middle Age (31-54)", L26&lt;31, "Adolescent (&lt;31)")</f>
        <v>Middle Age (31-54)</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_xlfn.IFS(L27&gt;54, "Old (55+)", L27&gt;=31, "Middle Age (31-54)", L27&lt;31, "Adolescent (&lt;31)")</f>
        <v>Old (55+)</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_xlfn.IFS(L28&gt;54, "Old (55+)", L28&gt;=31, "Middle Age (31-54)", L28&lt;31, "Adolescent (&lt;31)")</f>
        <v>Adolescent (&lt;31)</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_xlfn.IFS(L29&gt;54, "Old (55+)", L29&gt;=31, "Middle Age (31-54)", L29&lt;31, "Adolescent (&lt;31)")</f>
        <v>Middle Age (31-54)</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_xlfn.IFS(L30&gt;54, "Old (55+)", L30&gt;=31, "Middle Age (31-54)", L30&lt;31, "Adolescent (&lt;31)")</f>
        <v>Middle Age (31-54)</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_xlfn.IFS(L31&gt;54, "Old (55+)", L31&gt;=31, "Middle Age (31-54)", L31&lt;31, "Adolescent (&lt;31)")</f>
        <v>Middle Age (31-54)</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_xlfn.IFS(L32&gt;54, "Old (55+)", L32&gt;=31, "Middle Age (31-54)", L32&lt;31, "Adolescent (&lt;31)")</f>
        <v>Old (55+)</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_xlfn.IFS(L33&gt;54, "Old (55+)", L33&gt;=31, "Middle Age (31-54)", L33&lt;31, "Adolescent (&lt;31)")</f>
        <v>Adolescent (&lt;31)</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_xlfn.IFS(L34&gt;54, "Old (55+)", L34&gt;=31, "Middle Age (31-54)", L34&lt;31, "Adolescent (&lt;31)")</f>
        <v>Middle Age (31-54)</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_xlfn.IFS(L35&gt;54, "Old (55+)", L35&gt;=31, "Middle Age (31-54)", L35&lt;31, "Adolescent (&lt;31)")</f>
        <v>Middle Age (31-54)</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_xlfn.IFS(L36&gt;54, "Old (55+)", L36&gt;=31, "Middle Age (31-54)", L36&lt;31, "Adolescent (&lt;31)")</f>
        <v>Old (55+)</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_xlfn.IFS(L37&gt;54, "Old (55+)", L37&gt;=31, "Middle Age (31-54)", L37&lt;31, "Adolescent (&lt;31)")</f>
        <v>Middle Age (31-54)</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_xlfn.IFS(L38&gt;54, "Old (55+)", L38&gt;=31, "Middle Age (31-54)", L38&lt;31, "Adolescent (&lt;31)")</f>
        <v>Middle Age (31-54)</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_xlfn.IFS(L39&gt;54, "Old (55+)", L39&gt;=31, "Middle Age (31-54)", L39&lt;31, "Adolescent (&lt;31)")</f>
        <v>Adolescent (&lt;31)</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_xlfn.IFS(L40&gt;54, "Old (55+)", L40&gt;=31, "Middle Age (31-54)", L40&lt;31, "Adolescent (&lt;31)")</f>
        <v>Adolescent (&lt;31)</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_xlfn.IFS(L41&gt;54, "Old (55+)", L41&gt;=31, "Middle Age (31-54)", L41&lt;31, "Adolescent (&lt;31)")</f>
        <v>Middle Age (31-54)</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_xlfn.IFS(L42&gt;54, "Old (55+)", L42&gt;=31, "Middle Age (31-54)", L42&lt;31, "Adolescent (&lt;31)")</f>
        <v>Middle Age (31-54)</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_xlfn.IFS(L43&gt;54, "Old (55+)", L43&gt;=31, "Middle Age (31-54)", L43&lt;31, "Adolescent (&lt;31)")</f>
        <v>Old (55+)</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_xlfn.IFS(L44&gt;54, "Old (55+)", L44&gt;=31, "Middle Age (31-54)", L44&lt;31, "Adolescent (&lt;31)")</f>
        <v>Middle Age (31-54)</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_xlfn.IFS(L45&gt;54, "Old (55+)", L45&gt;=31, "Middle Age (31-54)", L45&lt;31, "Adolescent (&lt;31)")</f>
        <v>Middle Age (31-54)</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_xlfn.IFS(L46&gt;54, "Old (55+)", L46&gt;=31, "Middle Age (31-54)", L46&lt;31, "Adolescent (&lt;31)")</f>
        <v>Middle Age (31-54)</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_xlfn.IFS(L47&gt;54, "Old (55+)", L47&gt;=31, "Middle Age (31-54)", L47&lt;31, "Adolescent (&lt;31)")</f>
        <v>Old (55+)</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_xlfn.IFS(L48&gt;54, "Old (55+)", L48&gt;=31, "Middle Age (31-54)", L48&lt;31, "Adolescent (&lt;31)")</f>
        <v>Middle Age (31-54)</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_xlfn.IFS(L49&gt;54, "Old (55+)", L49&gt;=31, "Middle Age (31-54)", L49&lt;31, "Adolescent (&lt;31)")</f>
        <v>Middle Age (31-54)</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_xlfn.IFS(L50&gt;54, "Old (55+)", L50&gt;=31, "Middle Age (31-54)", L50&lt;31, "Adolescent (&lt;31)")</f>
        <v>Middle Age (31-54)</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_xlfn.IFS(L51&gt;54, "Old (55+)", L51&gt;=31, "Middle Age (31-54)", L51&lt;31, "Adolescent (&lt;31)")</f>
        <v>Middle Age (31-54)</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_xlfn.IFS(L52&gt;54, "Old (55+)", L52&gt;=31, "Middle Age (31-54)", L52&lt;31, "Adolescent (&lt;31)")</f>
        <v>Adolescent (&lt;31)</v>
      </c>
      <c r="N52" t="s">
        <v>18</v>
      </c>
    </row>
    <row r="53" spans="1:14" x14ac:dyDescent="0.3">
      <c r="A53">
        <v>20619</v>
      </c>
      <c r="B53" t="s">
        <v>37</v>
      </c>
      <c r="C53" t="s">
        <v>39</v>
      </c>
      <c r="D53" s="3">
        <v>80000</v>
      </c>
      <c r="E53">
        <v>0</v>
      </c>
      <c r="F53" t="s">
        <v>13</v>
      </c>
      <c r="G53" t="s">
        <v>21</v>
      </c>
      <c r="H53" t="s">
        <v>18</v>
      </c>
      <c r="I53">
        <v>4</v>
      </c>
      <c r="J53" t="s">
        <v>46</v>
      </c>
      <c r="K53" t="s">
        <v>24</v>
      </c>
      <c r="L53">
        <v>35</v>
      </c>
      <c r="M53" t="str" cm="1">
        <f t="array" ref="M53">_xlfn.IFS(L53&gt;54, "Old (55+)", L53&gt;=31, "Middle Age (31-54)", L53&lt;31, "Adolescent (&lt;31)")</f>
        <v>Middle Age (31-54)</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_xlfn.IFS(L54&gt;54, "Old (55+)", L54&gt;=31, "Middle Age (31-54)", L54&lt;31, "Adolescent (&lt;31)")</f>
        <v>Old (55+)</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_xlfn.IFS(L55&gt;54, "Old (55+)", L55&gt;=31, "Middle Age (31-54)", L55&lt;31, "Adolescent (&lt;31)")</f>
        <v>Old (55+)</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_xlfn.IFS(L56&gt;54, "Old (55+)", L56&gt;=31, "Middle Age (31-54)", L56&lt;31, "Adolescent (&lt;31)")</f>
        <v>Middle Age (31-54)</v>
      </c>
      <c r="N56" t="s">
        <v>18</v>
      </c>
    </row>
    <row r="57" spans="1:14" x14ac:dyDescent="0.3">
      <c r="A57">
        <v>28906</v>
      </c>
      <c r="B57" t="s">
        <v>36</v>
      </c>
      <c r="C57" t="s">
        <v>39</v>
      </c>
      <c r="D57" s="3">
        <v>80000</v>
      </c>
      <c r="E57">
        <v>4</v>
      </c>
      <c r="F57" t="s">
        <v>27</v>
      </c>
      <c r="G57" t="s">
        <v>21</v>
      </c>
      <c r="H57" t="s">
        <v>15</v>
      </c>
      <c r="I57">
        <v>2</v>
      </c>
      <c r="J57" t="s">
        <v>46</v>
      </c>
      <c r="K57" t="s">
        <v>17</v>
      </c>
      <c r="L57">
        <v>54</v>
      </c>
      <c r="M57" t="str" cm="1">
        <f t="array" ref="M57">_xlfn.IFS(L57&gt;54, "Old (55+)", L57&gt;=31, "Middle Age (31-54)", L57&lt;31, "Adolescent (&lt;31)")</f>
        <v>Middle Age (31-54)</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_xlfn.IFS(L58&gt;54, "Old (55+)", L58&gt;=31, "Middle Age (31-54)", L58&lt;31, "Adolescent (&lt;31)")</f>
        <v>Middle Age (31-54)</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_xlfn.IFS(L59&gt;54, "Old (55+)", L59&gt;=31, "Middle Age (31-54)", L59&lt;31, "Adolescent (&lt;31)")</f>
        <v>Old (55+)</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_xlfn.IFS(L60&gt;54, "Old (55+)", L60&gt;=31, "Middle Age (31-54)", L60&lt;31, "Adolescent (&lt;31)")</f>
        <v>Middle Age (31-54)</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_xlfn.IFS(L61&gt;54, "Old (55+)", L61&gt;=31, "Middle Age (31-54)", L61&lt;31, "Adolescent (&lt;31)")</f>
        <v>Middle Age (31-54)</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_xlfn.IFS(L62&gt;54, "Old (55+)", L62&gt;=31, "Middle Age (31-54)", L62&lt;31, "Adolescent (&lt;31)")</f>
        <v>Middle Age (31-54)</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_xlfn.IFS(L63&gt;54, "Old (55+)", L63&gt;=31, "Middle Age (31-54)", L63&lt;31, "Adolescent (&lt;31)")</f>
        <v>Middle Age (31-54)</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_xlfn.IFS(L64&gt;54, "Old (55+)", L64&gt;=31, "Middle Age (31-54)", L64&lt;31, "Adolescent (&lt;31)")</f>
        <v>Middle Age (31-54)</v>
      </c>
      <c r="N64" t="s">
        <v>15</v>
      </c>
    </row>
    <row r="65" spans="1:14" x14ac:dyDescent="0.3">
      <c r="A65">
        <v>16185</v>
      </c>
      <c r="B65" t="s">
        <v>37</v>
      </c>
      <c r="C65" t="s">
        <v>39</v>
      </c>
      <c r="D65" s="3">
        <v>60000</v>
      </c>
      <c r="E65">
        <v>4</v>
      </c>
      <c r="F65" t="s">
        <v>13</v>
      </c>
      <c r="G65" t="s">
        <v>21</v>
      </c>
      <c r="H65" t="s">
        <v>15</v>
      </c>
      <c r="I65">
        <v>3</v>
      </c>
      <c r="J65" t="s">
        <v>46</v>
      </c>
      <c r="K65" t="s">
        <v>24</v>
      </c>
      <c r="L65">
        <v>41</v>
      </c>
      <c r="M65" t="str" cm="1">
        <f t="array" ref="M65">_xlfn.IFS(L65&gt;54, "Old (55+)", L65&gt;=31, "Middle Age (31-54)", L65&lt;31, "Adolescent (&lt;31)")</f>
        <v>Middle Age (31-54)</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_xlfn.IFS(L66&gt;54, "Old (55+)", L66&gt;=31, "Middle Age (31-54)", L66&lt;31, "Adolescent (&lt;31)")</f>
        <v>Middle Age (31-54)</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_xlfn.IFS(L67&gt;54, "Old (55+)", L67&gt;=31, "Middle Age (31-54)", L67&lt;31, "Adolescent (&lt;31)")</f>
        <v>Old (55+)</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_xlfn.IFS(L68&gt;54, "Old (55+)", L68&gt;=31, "Middle Age (31-54)", L68&lt;31, "Adolescent (&lt;31)")</f>
        <v>Middle Age (31-54)</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_xlfn.IFS(L69&gt;54, "Old (55+)", L69&gt;=31, "Middle Age (31-54)", L69&lt;31, "Adolescent (&lt;31)")</f>
        <v>Middle Age (31-54)</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_xlfn.IFS(L70&gt;54, "Old (55+)", L70&gt;=31, "Middle Age (31-54)", L70&lt;31, "Adolescent (&lt;31)")</f>
        <v>Middle Age (31-54)</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_xlfn.IFS(L71&gt;54, "Old (55+)", L71&gt;=31, "Middle Age (31-54)", L71&lt;31, "Adolescent (&lt;31)")</f>
        <v>Adolescent (&lt;31)</v>
      </c>
      <c r="N71" t="s">
        <v>18</v>
      </c>
    </row>
    <row r="72" spans="1:14" x14ac:dyDescent="0.3">
      <c r="A72">
        <v>14238</v>
      </c>
      <c r="B72" t="s">
        <v>36</v>
      </c>
      <c r="C72" t="s">
        <v>39</v>
      </c>
      <c r="D72" s="3">
        <v>120000</v>
      </c>
      <c r="E72">
        <v>0</v>
      </c>
      <c r="F72" t="s">
        <v>29</v>
      </c>
      <c r="G72" t="s">
        <v>21</v>
      </c>
      <c r="H72" t="s">
        <v>15</v>
      </c>
      <c r="I72">
        <v>4</v>
      </c>
      <c r="J72" t="s">
        <v>46</v>
      </c>
      <c r="K72" t="s">
        <v>24</v>
      </c>
      <c r="L72">
        <v>36</v>
      </c>
      <c r="M72" t="str" cm="1">
        <f t="array" ref="M72">_xlfn.IFS(L72&gt;54, "Old (55+)", L72&gt;=31, "Middle Age (31-54)", L72&lt;31, "Adolescent (&lt;31)")</f>
        <v>Middle Age (31-54)</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_xlfn.IFS(L73&gt;54, "Old (55+)", L73&gt;=31, "Middle Age (31-54)", L73&lt;31, "Adolescent (&lt;31)")</f>
        <v>Middle Age (31-54)</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_xlfn.IFS(L74&gt;54, "Old (55+)", L74&gt;=31, "Middle Age (31-54)", L74&lt;31, "Adolescent (&lt;31)")</f>
        <v>Middle Age (31-54)</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_xlfn.IFS(L75&gt;54, "Old (55+)", L75&gt;=31, "Middle Age (31-54)", L75&lt;31, "Adolescent (&lt;31)")</f>
        <v>Middle Age (31-54)</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_xlfn.IFS(L76&gt;54, "Old (55+)", L76&gt;=31, "Middle Age (31-54)", L76&lt;31, "Adolescent (&lt;31)")</f>
        <v>Old (55+)</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_xlfn.IFS(L77&gt;54, "Old (55+)", L77&gt;=31, "Middle Age (31-54)", L77&lt;31, "Adolescent (&lt;31)")</f>
        <v>Middle Age (31-54)</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_xlfn.IFS(L78&gt;54, "Old (55+)", L78&gt;=31, "Middle Age (31-54)", L78&lt;31, "Adolescent (&lt;31)")</f>
        <v>Adolescent (&lt;31)</v>
      </c>
      <c r="N78" t="s">
        <v>18</v>
      </c>
    </row>
    <row r="79" spans="1:14" x14ac:dyDescent="0.3">
      <c r="A79">
        <v>27969</v>
      </c>
      <c r="B79" t="s">
        <v>36</v>
      </c>
      <c r="C79" t="s">
        <v>39</v>
      </c>
      <c r="D79" s="3">
        <v>80000</v>
      </c>
      <c r="E79">
        <v>0</v>
      </c>
      <c r="F79" t="s">
        <v>13</v>
      </c>
      <c r="G79" t="s">
        <v>21</v>
      </c>
      <c r="H79" t="s">
        <v>15</v>
      </c>
      <c r="I79">
        <v>2</v>
      </c>
      <c r="J79" t="s">
        <v>46</v>
      </c>
      <c r="K79" t="s">
        <v>24</v>
      </c>
      <c r="L79">
        <v>29</v>
      </c>
      <c r="M79" t="str" cm="1">
        <f t="array" ref="M79">_xlfn.IFS(L79&gt;54, "Old (55+)", L79&gt;=31, "Middle Age (31-54)", L79&lt;31, "Adolescent (&lt;31)")</f>
        <v>Adolescent (&lt;31)</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_xlfn.IFS(L80&gt;54, "Old (55+)", L80&gt;=31, "Middle Age (31-54)", L80&lt;31, "Adolescent (&lt;31)")</f>
        <v>Middle Age (31-54)</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_xlfn.IFS(L81&gt;54, "Old (55+)", L81&gt;=31, "Middle Age (31-54)", L81&lt;31, "Adolescent (&lt;31)")</f>
        <v>Old (55+)</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_xlfn.IFS(L82&gt;54, "Old (55+)", L82&gt;=31, "Middle Age (31-54)", L82&lt;31, "Adolescent (&lt;31)")</f>
        <v>Middle Age (31-54)</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_xlfn.IFS(L83&gt;54, "Old (55+)", L83&gt;=31, "Middle Age (31-54)", L83&lt;31, "Adolescent (&lt;31)")</f>
        <v>Middle Age (31-54)</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_xlfn.IFS(L84&gt;54, "Old (55+)", L84&gt;=31, "Middle Age (31-54)", L84&lt;31, "Adolescent (&lt;31)")</f>
        <v>Middle Age (31-54)</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_xlfn.IFS(L85&gt;54, "Old (55+)", L85&gt;=31, "Middle Age (31-54)", L85&lt;31, "Adolescent (&lt;31)")</f>
        <v>Adolescent (&lt;31)</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_xlfn.IFS(L86&gt;54, "Old (55+)", L86&gt;=31, "Middle Age (31-54)", L86&lt;31, "Adolescent (&lt;31)")</f>
        <v>Middle Age (31-54)</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_xlfn.IFS(L87&gt;54, "Old (55+)", L87&gt;=31, "Middle Age (31-54)", L87&lt;31, "Adolescent (&lt;31)")</f>
        <v>Adolescent (&lt;31)</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_xlfn.IFS(L88&gt;54, "Old (55+)", L88&gt;=31, "Middle Age (31-54)", L88&lt;31, "Adolescent (&lt;31)")</f>
        <v>Middle Age (31-54)</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_xlfn.IFS(L89&gt;54, "Old (55+)", L89&gt;=31, "Middle Age (31-54)", L89&lt;31, "Adolescent (&lt;31)")</f>
        <v>Middle Age (31-54)</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_xlfn.IFS(L90&gt;54, "Old (55+)", L90&gt;=31, "Middle Age (31-54)", L90&lt;31, "Adolescent (&lt;31)")</f>
        <v>Adolescent (&lt;31)</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_xlfn.IFS(L91&gt;54, "Old (55+)", L91&gt;=31, "Middle Age (31-54)", L91&lt;31, "Adolescent (&lt;31)")</f>
        <v>Middle Age (31-54)</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_xlfn.IFS(L92&gt;54, "Old (55+)", L92&gt;=31, "Middle Age (31-54)", L92&lt;31, "Adolescent (&lt;31)")</f>
        <v>Adolescent (&lt;31)</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_xlfn.IFS(L93&gt;54, "Old (55+)", L93&gt;=31, "Middle Age (31-54)", L93&lt;31, "Adolescent (&lt;31)")</f>
        <v>Adolescent (&lt;31)</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_xlfn.IFS(L94&gt;54, "Old (55+)", L94&gt;=31, "Middle Age (31-54)", L94&lt;31, "Adolescent (&lt;31)")</f>
        <v>Middle Age (31-54)</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_xlfn.IFS(L95&gt;54, "Old (55+)", L95&gt;=31, "Middle Age (31-54)", L95&lt;31, "Adolescent (&lt;31)")</f>
        <v>Middle Age (31-54)</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_xlfn.IFS(L96&gt;54, "Old (55+)", L96&gt;=31, "Middle Age (31-54)", L96&lt;31, "Adolescent (&lt;31)")</f>
        <v>Old (55+)</v>
      </c>
      <c r="N96" t="s">
        <v>18</v>
      </c>
    </row>
    <row r="97" spans="1:14" x14ac:dyDescent="0.3">
      <c r="A97">
        <v>17197</v>
      </c>
      <c r="B97" t="s">
        <v>37</v>
      </c>
      <c r="C97" t="s">
        <v>38</v>
      </c>
      <c r="D97" s="3">
        <v>90000</v>
      </c>
      <c r="E97">
        <v>5</v>
      </c>
      <c r="F97" t="s">
        <v>19</v>
      </c>
      <c r="G97" t="s">
        <v>21</v>
      </c>
      <c r="H97" t="s">
        <v>15</v>
      </c>
      <c r="I97">
        <v>2</v>
      </c>
      <c r="J97" t="s">
        <v>46</v>
      </c>
      <c r="K97" t="s">
        <v>17</v>
      </c>
      <c r="L97">
        <v>62</v>
      </c>
      <c r="M97" t="str" cm="1">
        <f t="array" ref="M97">_xlfn.IFS(L97&gt;54, "Old (55+)", L97&gt;=31, "Middle Age (31-54)", L97&lt;31, "Adolescent (&lt;31)")</f>
        <v>Old (55+)</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_xlfn.IFS(L98&gt;54, "Old (55+)", L98&gt;=31, "Middle Age (31-54)", L98&lt;31, "Adolescent (&lt;31)")</f>
        <v>Middle Age (31-54)</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_xlfn.IFS(L99&gt;54, "Old (55+)", L99&gt;=31, "Middle Age (31-54)", L99&lt;31, "Adolescent (&lt;31)")</f>
        <v>Middle Age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_xlfn.IFS(L100&gt;54, "Old (55+)", L100&gt;=31, "Middle Age (31-54)", L100&lt;31, "Adolescent (&lt;31)")</f>
        <v>Adolescent (&lt;31)</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_xlfn.IFS(L101&gt;54, "Old (55+)", L101&gt;=31, "Middle Age (31-54)", L101&lt;31, "Adolescent (&lt;31)")</f>
        <v>Middle Age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_xlfn.IFS(L102&gt;54, "Old (55+)", L102&gt;=31, "Middle Age (31-54)", L102&lt;31, "Adolescent (&lt;31)")</f>
        <v>Middle Age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_xlfn.IFS(L103&gt;54, "Old (55+)", L103&gt;=31, "Middle Age (31-54)", L103&lt;31, "Adolescent (&lt;31)")</f>
        <v>Middle Age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_xlfn.IFS(L104&gt;54, "Old (55+)", L104&gt;=31, "Middle Age (31-54)", L104&lt;31, "Adolescent (&lt;31)")</f>
        <v>Middle Age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_xlfn.IFS(L105&gt;54, "Old (55+)", L105&gt;=31, "Middle Age (31-54)", L105&lt;31, "Adolescent (&lt;31)")</f>
        <v>Middle Age (31-54)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_xlfn.IFS(L106&gt;54, "Old (55+)", L106&gt;=31, "Middle Age (31-54)", L106&lt;31, "Adolescent (&lt;31)")</f>
        <v>Middle Age (31-54)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_xlfn.IFS(L107&gt;54, "Old (55+)", L107&gt;=31, "Middle Age (31-54)", L107&lt;31, "Adolescent (&lt;31)")</f>
        <v>Adolescent (&lt;31)</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_xlfn.IFS(L108&gt;54, "Old (55+)", L108&gt;=31, "Middle Age (31-54)", L108&lt;31, "Adolescent (&lt;31)")</f>
        <v>Middle Age (31-54)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_xlfn.IFS(L109&gt;54, "Old (55+)", L109&gt;=31, "Middle Age (31-54)", L109&lt;31, "Adolescent (&lt;31)")</f>
        <v>Middle Age (31-54)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_xlfn.IFS(L110&gt;54, "Old (55+)", L110&gt;=31, "Middle Age (31-54)", L110&lt;31, "Adolescent (&lt;31)")</f>
        <v>Middle Age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_xlfn.IFS(L111&gt;54, "Old (55+)", L111&gt;=31, "Middle Age (31-54)", L111&lt;31, "Adolescent (&lt;31)")</f>
        <v>Middle Age (31-54)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_xlfn.IFS(L112&gt;54, "Old (55+)", L112&gt;=31, "Middle Age (31-54)", L112&lt;31, "Adolescent (&lt;31)")</f>
        <v>Middle Age (31-54)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_xlfn.IFS(L113&gt;54, "Old (55+)", L113&gt;=31, "Middle Age (31-54)", L113&lt;31, "Adolescent (&lt;31)")</f>
        <v>Middle Age (31-54)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_xlfn.IFS(L114&gt;54, "Old (55+)", L114&gt;=31, "Middle Age (31-54)", L114&lt;31, "Adolescent (&lt;31)")</f>
        <v>Middle Age (31-54)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_xlfn.IFS(L115&gt;54, "Old (55+)", L115&gt;=31, "Middle Age (31-54)", L115&lt;31, "Adolescent (&lt;31)")</f>
        <v>Middle Age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_xlfn.IFS(L116&gt;54, "Old (55+)", L116&gt;=31, "Middle Age (31-54)", L116&lt;31, "Adolescent (&lt;31)")</f>
        <v>Adolescent (&lt;31)</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_xlfn.IFS(L117&gt;54, "Old (55+)", L117&gt;=31, "Middle Age (31-54)", L117&lt;31, "Adolescent (&lt;31)")</f>
        <v>Adolescent (&lt;31)</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_xlfn.IFS(L118&gt;54, "Old (55+)", L118&gt;=31, "Middle Age (31-54)", L118&lt;31, "Adolescent (&lt;31)")</f>
        <v>Middle Age (31-54)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_xlfn.IFS(L119&gt;54, "Old (55+)", L119&gt;=31, "Middle Age (31-54)", L119&lt;31, "Adolescent (&lt;31)")</f>
        <v>Middle Age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_xlfn.IFS(L120&gt;54, "Old (55+)", L120&gt;=31, "Middle Age (31-54)", L120&lt;31, "Adolescent (&lt;31)")</f>
        <v>Old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_xlfn.IFS(L121&gt;54, "Old (55+)", L121&gt;=31, "Middle Age (31-54)", L121&lt;31, "Adolescent (&lt;31)")</f>
        <v>Adolescent (&lt;31)</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_xlfn.IFS(L122&gt;54, "Old (55+)", L122&gt;=31, "Middle Age (31-54)", L122&lt;31, "Adolescent (&lt;31)")</f>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_xlfn.IFS(L123&gt;54, "Old (55+)", L123&gt;=31, "Middle Age (31-54)", L123&lt;31, "Adolescent (&lt;31)")</f>
        <v>Middle Age (31-54)</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cm="1">
        <f t="array" ref="M124">_xlfn.IFS(L124&gt;54, "Old (55+)", L124&gt;=31, "Middle Age (31-54)", L124&lt;31, "Adolescent (&lt;31)")</f>
        <v>Middle Age (31-54)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_xlfn.IFS(L125&gt;54, "Old (55+)", L125&gt;=31, "Middle Age (31-54)", L125&lt;31, "Adolescent (&lt;31)")</f>
        <v>Old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_xlfn.IFS(L126&gt;54, "Old (55+)", L126&gt;=31, "Middle Age (31-54)", L126&lt;31, "Adolescent (&lt;31)")</f>
        <v>Middle Age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_xlfn.IFS(L127&gt;54, "Old (55+)", L127&gt;=31, "Middle Age (31-54)", L127&lt;31, "Adolescent (&lt;31)")</f>
        <v>Middle Age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_xlfn.IFS(L128&gt;54, "Old (55+)", L128&gt;=31, "Middle Age (31-54)", L128&lt;31, "Adolescent (&lt;31)")</f>
        <v>Middle Age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_xlfn.IFS(L129&gt;54, "Old (55+)", L129&gt;=31, "Middle Age (31-54)", L129&lt;31, "Adolescent (&lt;31)")</f>
        <v>Middle Age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_xlfn.IFS(L130&gt;54, "Old (55+)", L130&gt;=31, "Middle Age (31-54)", L130&lt;31, "Adolescent (&lt;31)")</f>
        <v>Middle Age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_xlfn.IFS(L131&gt;54, "Old (55+)", L131&gt;=31, "Middle Age (31-54)", L131&lt;31, "Adolescent (&lt;31)")</f>
        <v>Middle Age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_xlfn.IFS(L132&gt;54, "Old (55+)", L132&gt;=31, "Middle Age (31-54)", L132&lt;31, "Adolescent (&lt;31)")</f>
        <v>Middle Age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_xlfn.IFS(L133&gt;54, "Old (55+)", L133&gt;=31, "Middle Age (31-54)", L133&lt;31, "Adolescent (&lt;31)")</f>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_xlfn.IFS(L134&gt;54, "Old (55+)", L134&gt;=31, "Middle Age (31-54)", L134&lt;31, "Adolescent (&lt;31)")</f>
        <v>Middle Age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_xlfn.IFS(L135&gt;54, "Old (55+)", L135&gt;=31, "Middle Age (31-54)", L135&lt;31, "Adolescent (&lt;31)")</f>
        <v>Old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_xlfn.IFS(L136&gt;54, "Old (55+)", L136&gt;=31, "Middle Age (31-54)", L136&lt;31, "Adolescent (&lt;31)")</f>
        <v>Middle Age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_xlfn.IFS(L137&gt;54, "Old (55+)", L137&gt;=31, "Middle Age (31-54)", L137&lt;31, "Adolescent (&lt;31)")</f>
        <v>Middle Age (31-54)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_xlfn.IFS(L138&gt;54, "Old (55+)", L138&gt;=31, "Middle Age (31-54)", L138&lt;31, "Adolescent (&lt;31)")</f>
        <v>Middle Age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_xlfn.IFS(L139&gt;54, "Old (55+)", L139&gt;=31, "Middle Age (31-54)", L139&lt;31, "Adolescent (&lt;31)")</f>
        <v>Middle Age (31-54)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_xlfn.IFS(L140&gt;54, "Old (55+)", L140&gt;=31, "Middle Age (31-54)", L140&lt;31, "Adolescent (&lt;31)")</f>
        <v>Old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_xlfn.IFS(L141&gt;54, "Old (55+)", L141&gt;=31, "Middle Age (31-54)", L141&lt;31, "Adolescent (&lt;31)")</f>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_xlfn.IFS(L142&gt;54, "Old (55+)", L142&gt;=31, "Middle Age (31-54)", L142&lt;31, "Adolescent (&lt;31)")</f>
        <v>Middle Age (31-54)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_xlfn.IFS(L143&gt;54, "Old (55+)", L143&gt;=31, "Middle Age (31-54)", L143&lt;31, "Adolescent (&lt;31)")</f>
        <v>Adolescent (&lt;31)</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_xlfn.IFS(L144&gt;54, "Old (55+)", L144&gt;=31, "Middle Age (31-54)", L144&lt;31, "Adolescent (&lt;31)")</f>
        <v>Middle Age (31-54)</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cm="1">
        <f t="array" ref="M145">_xlfn.IFS(L145&gt;54, "Old (55+)", L145&gt;=31, "Middle Age (31-54)", L145&lt;31, "Adolescent (&lt;31)")</f>
        <v>Middle Age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_xlfn.IFS(L146&gt;54, "Old (55+)", L146&gt;=31, "Middle Age (31-54)", L146&lt;31, "Adolescent (&lt;31)")</f>
        <v>Middle Age (31-54)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_xlfn.IFS(L147&gt;54, "Old (55+)", L147&gt;=31, "Middle Age (31-54)", L147&lt;31, "Adolescent (&lt;31)")</f>
        <v>Middle Age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_xlfn.IFS(L148&gt;54, "Old (55+)", L148&gt;=31, "Middle Age (31-54)", L148&lt;31, "Adolescent (&lt;31)")</f>
        <v>Middle Age (31-54)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_xlfn.IFS(L149&gt;54, "Old (55+)", L149&gt;=31, "Middle Age (31-54)", L149&lt;31, "Adolescent (&lt;31)")</f>
        <v>Middle Age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_xlfn.IFS(L150&gt;54, "Old (55+)", L150&gt;=31, "Middle Age (31-54)", L150&lt;31, "Adolescent (&lt;31)")</f>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_xlfn.IFS(L151&gt;54, "Old (55+)", L151&gt;=31, "Middle Age (31-54)", L151&lt;31, "Adolescent (&lt;31)")</f>
        <v>Adolescent (&lt;31)</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_xlfn.IFS(L152&gt;54, "Old (55+)", L152&gt;=31, "Middle Age (31-54)", L152&lt;31, "Adolescent (&lt;31)")</f>
        <v>Middle Age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_xlfn.IFS(L153&gt;54, "Old (55+)", L153&gt;=31, "Middle Age (31-54)", L153&lt;31, "Adolescent (&lt;31)")</f>
        <v>Middle Age (31-54)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_xlfn.IFS(L154&gt;54, "Old (55+)", L154&gt;=31, "Middle Age (31-54)", L154&lt;31, "Adolescent (&lt;31)")</f>
        <v>Middle Age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_xlfn.IFS(L155&gt;54, "Old (55+)", L155&gt;=31, "Middle Age (31-54)", L155&lt;31, "Adolescent (&lt;31)")</f>
        <v>Middle Age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_xlfn.IFS(L156&gt;54, "Old (55+)", L156&gt;=31, "Middle Age (31-54)", L156&lt;31, "Adolescent (&lt;31)")</f>
        <v>Middle Age (31-54)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_xlfn.IFS(L157&gt;54, "Old (55+)", L157&gt;=31, "Middle Age (31-54)", L157&lt;31, "Adolescent (&lt;31)")</f>
        <v>Middle Age (31-54)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_xlfn.IFS(L158&gt;54, "Old (55+)", L158&gt;=31, "Middle Age (31-54)", L158&lt;31, "Adolescent (&lt;31)")</f>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_xlfn.IFS(L159&gt;54, "Old (55+)", L159&gt;=31, "Middle Age (31-54)", L159&lt;31, "Adolescent (&lt;31)")</f>
        <v>Middle Age (31-54)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_xlfn.IFS(L160&gt;54, "Old (55+)", L160&gt;=31, "Middle Age (31-54)", L160&lt;31, "Adolescent (&lt;31)")</f>
        <v>Middle Age (31-54)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_xlfn.IFS(L161&gt;54, "Old (55+)", L161&gt;=31, "Middle Age (31-54)", L161&lt;31, "Adolescent (&lt;31)")</f>
        <v>Middle Age (31-54)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_xlfn.IFS(L162&gt;54, "Old (55+)", L162&gt;=31, "Middle Age (31-54)", L162&lt;31, "Adolescent (&lt;31)")</f>
        <v>Middle Age (31-54)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_xlfn.IFS(L163&gt;54, "Old (55+)", L163&gt;=31, "Middle Age (31-54)", L163&lt;31, "Adolescent (&lt;31)")</f>
        <v>Middle Age (31-54)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_xlfn.IFS(L164&gt;54, "Old (55+)", L164&gt;=31, "Middle Age (31-54)", L164&lt;31, "Adolescent (&lt;31)")</f>
        <v>Middle Age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_xlfn.IFS(L165&gt;54, "Old (55+)", L165&gt;=31, "Middle Age (31-54)", L165&lt;31, "Adolescent (&lt;31)")</f>
        <v>Middle Age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_xlfn.IFS(L166&gt;54, "Old (55+)", L166&gt;=31, "Middle Age (31-54)", L166&lt;31, "Adolescent (&lt;31)")</f>
        <v>Adolescent (&lt;31)</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_xlfn.IFS(L167&gt;54, "Old (55+)", L167&gt;=31, "Middle Age (31-54)", L167&lt;31, "Adolescent (&lt;31)")</f>
        <v>Adolescent (&lt;31)</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_xlfn.IFS(L168&gt;54, "Old (55+)", L168&gt;=31, "Middle Age (31-54)", L168&lt;31, "Adolescent (&lt;31)")</f>
        <v>Middle Age (31-54)</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cm="1">
        <f t="array" ref="M169">_xlfn.IFS(L169&gt;54, "Old (55+)", L169&gt;=31, "Middle Age (31-54)", L169&lt;31, "Adolescent (&lt;31)")</f>
        <v>Middle Age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_xlfn.IFS(L170&gt;54, "Old (55+)", L170&gt;=31, "Middle Age (31-54)", L170&lt;31, "Adolescent (&lt;31)")</f>
        <v>Middle Age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_xlfn.IFS(L171&gt;54, "Old (55+)", L171&gt;=31, "Middle Age (31-54)", L171&lt;31, "Adolescent (&lt;31)")</f>
        <v>Middle Age (31-54)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_xlfn.IFS(L172&gt;54, "Old (55+)", L172&gt;=31, "Middle Age (31-54)", L172&lt;31, "Adolescent (&lt;31)")</f>
        <v>Old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_xlfn.IFS(L173&gt;54, "Old (55+)", L173&gt;=31, "Middle Age (31-54)", L173&lt;31, "Adolescent (&lt;31)")</f>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_xlfn.IFS(L174&gt;54, "Old (55+)", L174&gt;=31, "Middle Age (31-54)", L174&lt;31, "Adolescent (&lt;31)")</f>
        <v>Middle Age (31-54)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_xlfn.IFS(L175&gt;54, "Old (55+)", L175&gt;=31, "Middle Age (31-54)", L175&lt;31, "Adolescent (&lt;31)")</f>
        <v>Adolescent (&lt;31)</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_xlfn.IFS(L176&gt;54, "Old (55+)", L176&gt;=31, "Middle Age (31-54)", L176&lt;31, "Adolescent (&lt;31)")</f>
        <v>Middle Age (31-54)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_xlfn.IFS(L177&gt;54, "Old (55+)", L177&gt;=31, "Middle Age (31-54)", L177&lt;31, "Adolescent (&lt;31)")</f>
        <v>Middle Age (31-54)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_xlfn.IFS(L178&gt;54, "Old (55+)", L178&gt;=31, "Middle Age (31-54)", L178&lt;31, "Adolescent (&lt;31)")</f>
        <v>Adolescent (&lt;31)</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_xlfn.IFS(L179&gt;54, "Old (55+)", L179&gt;=31, "Middle Age (31-54)", L179&lt;31, "Adolescent (&lt;31)")</f>
        <v>Middle Age (31-54)</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cm="1">
        <f t="array" ref="M180">_xlfn.IFS(L180&gt;54, "Old (55+)", L180&gt;=31, "Middle Age (31-54)", L180&lt;31, "Adolescent (&lt;31)")</f>
        <v>Old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_xlfn.IFS(L181&gt;54, "Old (55+)", L181&gt;=31, "Middle Age (31-54)", L181&lt;31, "Adolescent (&lt;31)")</f>
        <v>Middle Age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_xlfn.IFS(L182&gt;54, "Old (55+)", L182&gt;=31, "Middle Age (31-54)", L182&lt;31, "Adolescent (&lt;31)")</f>
        <v>Middle Age (31-54)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_xlfn.IFS(L183&gt;54, "Old (55+)", L183&gt;=31, "Middle Age (31-54)", L183&lt;31, "Adolescent (&lt;31)")</f>
        <v>Old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_xlfn.IFS(L184&gt;54, "Old (55+)", L184&gt;=31, "Middle Age (31-54)", L184&lt;31, "Adolescent (&lt;31)")</f>
        <v>Middle Age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_xlfn.IFS(L185&gt;54, "Old (55+)", L185&gt;=31, "Middle Age (31-54)", L185&lt;31, "Adolescent (&lt;31)")</f>
        <v>Old (55+)</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cm="1">
        <f t="array" ref="M186">_xlfn.IFS(L186&gt;54, "Old (55+)", L186&gt;=31, "Middle Age (31-54)", L186&lt;31, "Adolescent (&lt;31)")</f>
        <v>Old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_xlfn.IFS(L187&gt;54, "Old (55+)", L187&gt;=31, "Middle Age (31-54)", L187&lt;31, "Adolescent (&lt;31)")</f>
        <v>Middle Age (31-54)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_xlfn.IFS(L188&gt;54, "Old (55+)", L188&gt;=31, "Middle Age (31-54)", L188&lt;31, "Adolescent (&lt;31)")</f>
        <v>Old (55+)</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cm="1">
        <f t="array" ref="M189">_xlfn.IFS(L189&gt;54, "Old (55+)", L189&gt;=31, "Middle Age (31-54)", L189&lt;31, "Adolescent (&lt;31)")</f>
        <v>Old (55+)</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cm="1">
        <f t="array" ref="M190">_xlfn.IFS(L190&gt;54, "Old (55+)", L190&gt;=31, "Middle Age (31-54)", L190&lt;31, "Adolescent (&lt;31)")</f>
        <v>Middle Age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_xlfn.IFS(L191&gt;54, "Old (55+)", L191&gt;=31, "Middle Age (31-54)", L191&lt;31, "Adolescent (&lt;31)")</f>
        <v>Middle Age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_xlfn.IFS(L192&gt;54, "Old (55+)", L192&gt;=31, "Middle Age (31-54)", L192&lt;31, "Adolescent (&lt;31)")</f>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_xlfn.IFS(L193&gt;54, "Old (55+)", L193&gt;=31, "Middle Age (31-54)", L193&lt;31, "Adolescent (&lt;31)")</f>
        <v>Middle Age (31-54)</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cm="1">
        <f t="array" ref="M194">_xlfn.IFS(L194&gt;54, "Old (55+)", L194&gt;=31, "Middle Age (31-54)", L194&lt;31, "Adolescent (&lt;31)")</f>
        <v>Old (55+)</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cm="1">
        <f t="array" ref="M195">_xlfn.IFS(L195&gt;54, "Old (55+)", L195&gt;=31, "Middle Age (31-54)", L195&lt;31, "Adolescent (&lt;31)")</f>
        <v>Middle Age (31-54)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_xlfn.IFS(L196&gt;54, "Old (55+)", L196&gt;=31, "Middle Age (31-54)", L196&lt;31, "Adolescent (&lt;31)")</f>
        <v>Middle Age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_xlfn.IFS(L197&gt;54, "Old (55+)", L197&gt;=31, "Middle Age (31-54)", L197&lt;31, "Adolescent (&lt;31)")</f>
        <v>Adolescent (&lt;31)</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_xlfn.IFS(L198&gt;54, "Old (55+)", L198&gt;=31, "Middle Age (31-54)", L198&lt;31, "Adolescent (&lt;31)")</f>
        <v>Middle Age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_xlfn.IFS(L199&gt;54, "Old (55+)", L199&gt;=31, "Middle Age (31-54)", L199&lt;31, "Adolescent (&lt;31)")</f>
        <v>Old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_xlfn.IFS(L200&gt;54, "Old (55+)", L200&gt;=31, "Middle Age (31-54)", L200&lt;31, "Adolescent (&lt;31)")</f>
        <v>Middle Age (31-54)</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cm="1">
        <f t="array" ref="M201">_xlfn.IFS(L201&gt;54, "Old (55+)", L201&gt;=31, "Middle Age (31-54)", L201&lt;31, "Adolescent (&lt;31)")</f>
        <v>Middle Age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_xlfn.IFS(L202&gt;54, "Old (55+)", L202&gt;=31, "Middle Age (31-54)", L202&lt;31, "Adolescent (&lt;31)")</f>
        <v>Middle Age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_xlfn.IFS(L203&gt;54, "Old (55+)", L203&gt;=31, "Middle Age (31-54)", L203&lt;31, "Adolescent (&lt;31)")</f>
        <v>Adolescent (&lt;31)</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_xlfn.IFS(L204&gt;54, "Old (55+)", L204&gt;=31, "Middle Age (31-54)", L204&lt;31, "Adolescent (&lt;31)")</f>
        <v>Middle Age (31-54)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_xlfn.IFS(L205&gt;54, "Old (55+)", L205&gt;=31, "Middle Age (31-54)", L205&lt;31, "Adolescent (&lt;31)")</f>
        <v>Middle Age (31-54)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_xlfn.IFS(L206&gt;54, "Old (55+)", L206&gt;=31, "Middle Age (31-54)", L206&lt;31, "Adolescent (&lt;31)")</f>
        <v>Middle Age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_xlfn.IFS(L207&gt;54, "Old (55+)", L207&gt;=31, "Middle Age (31-54)", L207&lt;31, "Adolescent (&lt;31)")</f>
        <v>Middle Age (31-54)</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cm="1">
        <f t="array" ref="M208">_xlfn.IFS(L208&gt;54, "Old (55+)", L208&gt;=31, "Middle Age (31-54)", L208&lt;31, "Adolescent (&lt;31)")</f>
        <v>Old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_xlfn.IFS(L209&gt;54, "Old (55+)", L209&gt;=31, "Middle Age (31-54)", L209&lt;31, "Adolescent (&lt;31)")</f>
        <v>Adolescent (&lt;31)</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_xlfn.IFS(L210&gt;54, "Old (55+)", L210&gt;=31, "Middle Age (31-54)", L210&lt;31, "Adolescent (&lt;31)")</f>
        <v>Middle Age (31-54)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_xlfn.IFS(L211&gt;54, "Old (55+)", L211&gt;=31, "Middle Age (31-54)", L211&lt;31, "Adolescent (&lt;31)")</f>
        <v>Middle Age (31-54)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_xlfn.IFS(L212&gt;54, "Old (55+)", L212&gt;=31, "Middle Age (31-54)", L212&lt;31, "Adolescent (&lt;31)")</f>
        <v>Middle Age (31-54)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_xlfn.IFS(L213&gt;54, "Old (55+)", L213&gt;=31, "Middle Age (31-54)", L213&lt;31, "Adolescent (&lt;31)")</f>
        <v>Middle Age (31-54)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_xlfn.IFS(L214&gt;54, "Old (55+)", L214&gt;=31, "Middle Age (31-54)", L214&lt;31, "Adolescent (&lt;31)")</f>
        <v>Adolescent (&lt;31)</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cm="1">
        <f t="array" ref="M215">_xlfn.IFS(L215&gt;54, "Old (55+)", L215&gt;=31, "Middle Age (31-54)", L215&lt;31, "Adolescent (&lt;31)")</f>
        <v>Middle Age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_xlfn.IFS(L216&gt;54, "Old (55+)", L216&gt;=31, "Middle Age (31-54)", L216&lt;31, "Adolescent (&lt;31)")</f>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_xlfn.IFS(L217&gt;54, "Old (55+)", L217&gt;=31, "Middle Age (31-54)", L217&lt;31, "Adolescent (&lt;31)")</f>
        <v>Middle Age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_xlfn.IFS(L218&gt;54, "Old (55+)", L218&gt;=31, "Middle Age (31-54)", L218&lt;31, "Adolescent (&lt;31)")</f>
        <v>Middle Age (31-54)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_xlfn.IFS(L219&gt;54, "Old (55+)", L219&gt;=31, "Middle Age (31-54)", L219&lt;31, "Adolescent (&lt;31)")</f>
        <v>Adolescent (&lt;31)</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_xlfn.IFS(L220&gt;54, "Old (55+)", L220&gt;=31, "Middle Age (31-54)", L220&lt;31, "Adolescent (&lt;31)")</f>
        <v>Middle Age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_xlfn.IFS(L221&gt;54, "Old (55+)", L221&gt;=31, "Middle Age (31-54)", L221&lt;31, "Adolescent (&lt;31)")</f>
        <v>Adolescent (&lt;31)</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_xlfn.IFS(L222&gt;54, "Old (55+)", L222&gt;=31, "Middle Age (31-54)", L222&lt;31, "Adolescent (&lt;31)")</f>
        <v>Middle Age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_xlfn.IFS(L223&gt;54, "Old (55+)", L223&gt;=31, "Middle Age (31-54)", L223&lt;31, "Adolescent (&lt;31)")</f>
        <v>Middle Age (31-54)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_xlfn.IFS(L224&gt;54, "Old (55+)", L224&gt;=31, "Middle Age (31-54)", L224&lt;31, "Adolescent (&lt;31)")</f>
        <v>Middle Age (31-54)</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cm="1">
        <f t="array" ref="M225">_xlfn.IFS(L225&gt;54, "Old (55+)", L225&gt;=31, "Middle Age (31-54)", L225&lt;31, "Adolescent (&lt;31)")</f>
        <v>Middle Age (31-54)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_xlfn.IFS(L226&gt;54, "Old (55+)", L226&gt;=31, "Middle Age (31-54)", L226&lt;31, "Adolescent (&lt;31)")</f>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_xlfn.IFS(L227&gt;54, "Old (55+)", L227&gt;=31, "Middle Age (31-54)", L227&lt;31, "Adolescent (&lt;31)")</f>
        <v>Middle Age (31-54)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_xlfn.IFS(L228&gt;54, "Old (55+)", L228&gt;=31, "Middle Age (31-54)", L228&lt;31, "Adolescent (&lt;31)")</f>
        <v>Middle Age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_xlfn.IFS(L229&gt;54, "Old (55+)", L229&gt;=31, "Middle Age (31-54)", L229&lt;31, "Adolescent (&lt;31)")</f>
        <v>Middle Age (31-54)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_xlfn.IFS(L230&gt;54, "Old (55+)", L230&gt;=31, "Middle Age (31-54)", L230&lt;31, "Adolescent (&lt;31)")</f>
        <v>Middle Age (31-54)</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cm="1">
        <f t="array" ref="M231">_xlfn.IFS(L231&gt;54, "Old (55+)", L231&gt;=31, "Middle Age (31-54)", L231&lt;31, "Adolescent (&lt;31)")</f>
        <v>Old (55+)</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cm="1">
        <f t="array" ref="M232">_xlfn.IFS(L232&gt;54, "Old (55+)", L232&gt;=31, "Middle Age (31-54)", L232&lt;31, "Adolescent (&lt;31)")</f>
        <v>Old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_xlfn.IFS(L233&gt;54, "Old (55+)", L233&gt;=31, "Middle Age (31-54)", L233&lt;31, "Adolescent (&lt;31)")</f>
        <v>Middle Age (31-54)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_xlfn.IFS(L234&gt;54, "Old (55+)", L234&gt;=31, "Middle Age (31-54)", L234&lt;31, "Adolescent (&lt;31)")</f>
        <v>Middle Age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_xlfn.IFS(L235&gt;54, "Old (55+)", L235&gt;=31, "Middle Age (31-54)", L235&lt;31, "Adolescent (&lt;31)")</f>
        <v>Adolescent (&lt;31)</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cm="1">
        <f t="array" ref="M236">_xlfn.IFS(L236&gt;54, "Old (55+)", L236&gt;=31, "Middle Age (31-54)", L236&lt;31, "Adolescent (&lt;31)")</f>
        <v>Middle Age (31-54)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_xlfn.IFS(L237&gt;54, "Old (55+)", L237&gt;=31, "Middle Age (31-54)", L237&lt;31, "Adolescent (&lt;31)")</f>
        <v>Old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_xlfn.IFS(L238&gt;54, "Old (55+)", L238&gt;=31, "Middle Age (31-54)", L238&lt;31, "Adolescent (&lt;31)")</f>
        <v>Middle Age (31-54)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_xlfn.IFS(L239&gt;54, "Old (55+)", L239&gt;=31, "Middle Age (31-54)", L239&lt;31, "Adolescent (&lt;31)")</f>
        <v>Adolescent (&lt;31)</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_xlfn.IFS(L240&gt;54, "Old (55+)", L240&gt;=31, "Middle Age (31-54)", L240&lt;31, "Adolescent (&lt;31)")</f>
        <v>Middle Age (31-54)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_xlfn.IFS(L241&gt;54, "Old (55+)", L241&gt;=31, "Middle Age (31-54)", L241&lt;31, "Adolescent (&lt;31)")</f>
        <v>Middle Age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_xlfn.IFS(L242&gt;54, "Old (55+)", L242&gt;=31, "Middle Age (31-54)", L242&lt;31, "Adolescent (&lt;31)")</f>
        <v>Middle Age (31-54)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_xlfn.IFS(L243&gt;54, "Old (55+)", L243&gt;=31, "Middle Age (31-54)", L243&lt;31, "Adolescent (&lt;31)")</f>
        <v>Adolescent (&lt;31)</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_xlfn.IFS(L244&gt;54, "Old (55+)", L244&gt;=31, "Middle Age (31-54)", L244&lt;31, "Adolescent (&lt;31)")</f>
        <v>Middle Age (31-54)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_xlfn.IFS(L245&gt;54, "Old (55+)", L245&gt;=31, "Middle Age (31-54)", L245&lt;31, "Adolescent (&lt;31)")</f>
        <v>Adolescent (&lt;31)</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cm="1">
        <f t="array" ref="M246">_xlfn.IFS(L246&gt;54, "Old (55+)", L246&gt;=31, "Middle Age (31-54)", L246&lt;31, "Adolescent (&lt;31)")</f>
        <v>Middle Age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_xlfn.IFS(L247&gt;54, "Old (55+)", L247&gt;=31, "Middle Age (31-54)", L247&lt;31, "Adolescent (&lt;31)")</f>
        <v>Middle Age (31-54)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_xlfn.IFS(L248&gt;54, "Old (55+)", L248&gt;=31, "Middle Age (31-54)", L248&lt;31, "Adolescent (&lt;31)")</f>
        <v>Middle Age (31-54)</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cm="1">
        <f t="array" ref="M249">_xlfn.IFS(L249&gt;54, "Old (55+)", L249&gt;=31, "Middle Age (31-54)", L249&lt;31, "Adolescent (&lt;31)")</f>
        <v>Middle Age (31-54)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_xlfn.IFS(L250&gt;54, "Old (55+)", L250&gt;=31, "Middle Age (31-54)", L250&lt;31, "Adolescent (&lt;31)")</f>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_xlfn.IFS(L251&gt;54, "Old (55+)", L251&gt;=31, "Middle Age (31-54)", L251&lt;31, "Adolescent (&lt;31)")</f>
        <v>Middle Age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_xlfn.IFS(L252&gt;54, "Old (55+)", L252&gt;=31, "Middle Age (31-54)", L252&lt;31, "Adolescent (&lt;31)")</f>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_xlfn.IFS(L253&gt;54, "Old (55+)", L253&gt;=31, "Middle Age (31-54)", L253&lt;31, "Adolescent (&lt;31)")</f>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_xlfn.IFS(L254&gt;54, "Old (55+)", L254&gt;=31, "Middle Age (31-54)", L254&lt;31, "Adolescent (&lt;31)")</f>
        <v>Middle Age (31-54)</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cm="1">
        <f t="array" ref="M255">_xlfn.IFS(L255&gt;54, "Old (55+)", L255&gt;=31, "Middle Age (31-54)", L255&lt;31, "Adolescent (&lt;31)")</f>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_xlfn.IFS(L256&gt;54, "Old (55+)", L256&gt;=31, "Middle Age (31-54)", L256&lt;31, "Adolescent (&lt;31)")</f>
        <v>Old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_xlfn.IFS(L257&gt;54, "Old (55+)", L257&gt;=31, "Middle Age (31-54)", L257&lt;31, "Adolescent (&lt;31)")</f>
        <v>Middle Age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_xlfn.IFS(L258&gt;54, "Old (55+)", L258&gt;=31, "Middle Age (31-54)", L258&lt;31, "Adolescent (&lt;31)")</f>
        <v>Middle Age (31-54)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_xlfn.IFS(L259&gt;54, "Old (55+)", L259&gt;=31, "Middle Age (31-54)", L259&lt;31, "Adolescent (&lt;31)")</f>
        <v>Middle Age (31-54)</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cm="1">
        <f t="array" ref="M260">_xlfn.IFS(L260&gt;54, "Old (55+)", L260&gt;=31, "Middle Age (31-54)", L260&lt;31, "Adolescent (&lt;31)")</f>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_xlfn.IFS(L261&gt;54, "Old (55+)", L261&gt;=31, "Middle Age (31-54)", L261&lt;31, "Adolescent (&lt;31)")</f>
        <v>Middle Age (31-54)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_xlfn.IFS(L262&gt;54, "Old (55+)", L262&gt;=31, "Middle Age (31-54)", L262&lt;31, "Adolescent (&lt;31)")</f>
        <v>Middle Age (31-54)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_xlfn.IFS(L263&gt;54, "Old (55+)", L263&gt;=31, "Middle Age (31-54)", L263&lt;31, "Adolescent (&lt;31)")</f>
        <v>Middle Age (31-54)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_xlfn.IFS(L264&gt;54, "Old (55+)", L264&gt;=31, "Middle Age (31-54)", L264&lt;31, "Adolescent (&lt;31)")</f>
        <v>Middle Age (31-54)</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cm="1">
        <f t="array" ref="M265">_xlfn.IFS(L265&gt;54, "Old (55+)", L265&gt;=31, "Middle Age (31-54)", L265&lt;31, "Adolescent (&lt;31)")</f>
        <v>Middle Age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_xlfn.IFS(L266&gt;54, "Old (55+)", L266&gt;=31, "Middle Age (31-54)", L266&lt;31, "Adolescent (&lt;31)")</f>
        <v>Middle Age (31-54)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_xlfn.IFS(L267&gt;54, "Old (55+)", L267&gt;=31, "Middle Age (31-54)", L267&lt;31, "Adolescent (&lt;31)")</f>
        <v>Middle Age (31-54)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_xlfn.IFS(L268&gt;54, "Old (55+)", L268&gt;=31, "Middle Age (31-54)", L268&lt;31, "Adolescent (&lt;31)")</f>
        <v>Adolescent (&lt;31)</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_xlfn.IFS(L269&gt;54, "Old (55+)", L269&gt;=31, "Middle Age (31-54)", L269&lt;31, "Adolescent (&lt;31)")</f>
        <v>Middle Age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_xlfn.IFS(L270&gt;54, "Old (55+)", L270&gt;=31, "Middle Age (31-54)", L270&lt;31, "Adolescent (&lt;31)")</f>
        <v>Middle Age (31-54)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_xlfn.IFS(L271&gt;54, "Old (55+)", L271&gt;=31, "Middle Age (31-54)", L271&lt;31, "Adolescent (&lt;31)")</f>
        <v>Middle Age (31-54)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_xlfn.IFS(L272&gt;54, "Old (55+)", L272&gt;=31, "Middle Age (31-54)", L272&lt;31, "Adolescent (&lt;31)")</f>
        <v>Middle Age (31-54)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_xlfn.IFS(L273&gt;54, "Old (55+)", L273&gt;=31, "Middle Age (31-54)", L273&lt;31, "Adolescent (&lt;31)")</f>
        <v>Adolescent (&lt;31)</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_xlfn.IFS(L274&gt;54, "Old (55+)", L274&gt;=31, "Middle Age (31-54)", L274&lt;31, "Adolescent (&lt;31)")</f>
        <v>Middle Age (31-54)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_xlfn.IFS(L275&gt;54, "Old (55+)", L275&gt;=31, "Middle Age (31-54)", L275&lt;31, "Adolescent (&lt;31)")</f>
        <v>Adolescent (&lt;31)</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_xlfn.IFS(L276&gt;54, "Old (55+)", L276&gt;=31, "Middle Age (31-54)", L276&lt;31, "Adolescent (&lt;31)")</f>
        <v>Middle Age (31-54)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_xlfn.IFS(L277&gt;54, "Old (55+)", L277&gt;=31, "Middle Age (31-54)", L277&lt;31, "Adolescent (&lt;31)")</f>
        <v>Middle Age (31-54)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_xlfn.IFS(L278&gt;54, "Old (55+)", L278&gt;=31, "Middle Age (31-54)", L278&lt;31, "Adolescent (&lt;31)")</f>
        <v>Middle Age (31-54)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_xlfn.IFS(L279&gt;54, "Old (55+)", L279&gt;=31, "Middle Age (31-54)", L279&lt;31, "Adolescent (&lt;31)")</f>
        <v>Middle Age (31-54)</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cm="1">
        <f t="array" ref="M280">_xlfn.IFS(L280&gt;54, "Old (55+)", L280&gt;=31, "Middle Age (31-54)", L280&lt;31, "Adolescent (&lt;31)")</f>
        <v>Middle Age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_xlfn.IFS(L281&gt;54, "Old (55+)", L281&gt;=31, "Middle Age (31-54)", L281&lt;31, "Adolescent (&lt;31)")</f>
        <v>Middle Age (31-54)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_xlfn.IFS(L282&gt;54, "Old (55+)", L282&gt;=31, "Middle Age (31-54)", L282&lt;31, "Adolescent (&lt;31)")</f>
        <v>Middle Age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_xlfn.IFS(L283&gt;54, "Old (55+)", L283&gt;=31, "Middle Age (31-54)", L283&lt;31, "Adolescent (&lt;31)")</f>
        <v>Middle Age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_xlfn.IFS(L284&gt;54, "Old (55+)", L284&gt;=31, "Middle Age (31-54)", L284&lt;31, "Adolescent (&lt;31)")</f>
        <v>Middle Age (31-54)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_xlfn.IFS(L285&gt;54, "Old (55+)", L285&gt;=31, "Middle Age (31-54)", L285&lt;31, "Adolescent (&lt;31)")</f>
        <v>Middle Age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_xlfn.IFS(L286&gt;54, "Old (55+)", L286&gt;=31, "Middle Age (31-54)", L286&lt;31, "Adolescent (&lt;31)")</f>
        <v>Middle Age (31-54)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_xlfn.IFS(L287&gt;54, "Old (55+)", L287&gt;=31, "Middle Age (31-54)", L287&lt;31, "Adolescent (&lt;31)")</f>
        <v>Middle Age (31-54)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_xlfn.IFS(L288&gt;54, "Old (55+)", L288&gt;=31, "Middle Age (31-54)", L288&lt;31, "Adolescent (&lt;31)")</f>
        <v>Middle Age (31-54)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_xlfn.IFS(L289&gt;54, "Old (55+)", L289&gt;=31, "Middle Age (31-54)", L289&lt;31, "Adolescent (&lt;31)")</f>
        <v>Middle Age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_xlfn.IFS(L290&gt;54, "Old (55+)", L290&gt;=31, "Middle Age (31-54)", L290&lt;31, "Adolescent (&lt;31)")</f>
        <v>Middle Age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_xlfn.IFS(L291&gt;54, "Old (55+)", L291&gt;=31, "Middle Age (31-54)", L291&lt;31, "Adolescent (&lt;31)")</f>
        <v>Middle Age (31-54)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_xlfn.IFS(L292&gt;54, "Old (55+)", L292&gt;=31, "Middle Age (31-54)", L292&lt;31, "Adolescent (&lt;31)")</f>
        <v>Middle Age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_xlfn.IFS(L293&gt;54, "Old (55+)", L293&gt;=31, "Middle Age (31-54)", L293&lt;31, "Adolescent (&lt;31)")</f>
        <v>Middle Age (31-54)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_xlfn.IFS(L294&gt;54, "Old (55+)", L294&gt;=31, "Middle Age (31-54)", L294&lt;31, "Adolescent (&lt;31)")</f>
        <v>Middle Age (31-54)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_xlfn.IFS(L295&gt;54, "Old (55+)", L295&gt;=31, "Middle Age (31-54)", L295&lt;31, "Adolescent (&lt;31)")</f>
        <v>Middle Age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_xlfn.IFS(L296&gt;54, "Old (55+)", L296&gt;=31, "Middle Age (31-54)", L296&lt;31, "Adolescent (&lt;31)")</f>
        <v>Middle Age (31-54)</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cm="1">
        <f t="array" ref="M297">_xlfn.IFS(L297&gt;54, "Old (55+)", L297&gt;=31, "Middle Age (31-54)", L297&lt;31, "Adolescent (&lt;31)")</f>
        <v>Middle Age (31-54)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_xlfn.IFS(L298&gt;54, "Old (55+)", L298&gt;=31, "Middle Age (31-54)", L298&lt;31, "Adolescent (&lt;31)")</f>
        <v>Middle Age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_xlfn.IFS(L299&gt;54, "Old (55+)", L299&gt;=31, "Middle Age (31-54)", L299&lt;31, "Adolescent (&lt;31)")</f>
        <v>Middle Age (31-54)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_xlfn.IFS(L300&gt;54, "Old (55+)", L300&gt;=31, "Middle Age (31-54)", L300&lt;31, "Adolescent (&lt;31)")</f>
        <v>Middle Age (31-54)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_xlfn.IFS(L301&gt;54, "Old (55+)", L301&gt;=31, "Middle Age (31-54)", L301&lt;31, "Adolescent (&lt;31)")</f>
        <v>Old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_xlfn.IFS(L302&gt;54, "Old (55+)", L302&gt;=31, "Middle Age (31-54)", L302&lt;31, "Adolescent (&lt;31)")</f>
        <v>Old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_xlfn.IFS(L303&gt;54, "Old (55+)", L303&gt;=31, "Middle Age (31-54)", L303&lt;31, "Adolescent (&lt;31)")</f>
        <v>Adolescent (&lt;31)</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_xlfn.IFS(L304&gt;54, "Old (55+)", L304&gt;=31, "Middle Age (31-54)", L304&lt;31, "Adolescent (&lt;31)")</f>
        <v>Old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_xlfn.IFS(L305&gt;54, "Old (55+)", L305&gt;=31, "Middle Age (31-54)", L305&lt;31, "Adolescent (&lt;31)")</f>
        <v>Middle Age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_xlfn.IFS(L306&gt;54, "Old (55+)", L306&gt;=31, "Middle Age (31-54)", L306&lt;31, "Adolescent (&lt;31)")</f>
        <v>Middle Age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_xlfn.IFS(L307&gt;54, "Old (55+)", L307&gt;=31, "Middle Age (31-54)", L307&lt;31, "Adolescent (&lt;31)")</f>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_xlfn.IFS(L308&gt;54, "Old (55+)", L308&gt;=31, "Middle Age (31-54)", L308&lt;31, "Adolescent (&lt;31)")</f>
        <v>Middle Age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_xlfn.IFS(L309&gt;54, "Old (55+)", L309&gt;=31, "Middle Age (31-54)", L309&lt;31, "Adolescent (&lt;31)")</f>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_xlfn.IFS(L310&gt;54, "Old (55+)", L310&gt;=31, "Middle Age (31-54)", L310&lt;31, "Adolescent (&lt;31)")</f>
        <v>Middle Age (31-54)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_xlfn.IFS(L311&gt;54, "Old (55+)", L311&gt;=31, "Middle Age (31-54)", L311&lt;31, "Adolescent (&lt;31)")</f>
        <v>Middle Age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_xlfn.IFS(L312&gt;54, "Old (55+)", L312&gt;=31, "Middle Age (31-54)", L312&lt;31, "Adolescent (&lt;31)")</f>
        <v>Middle Age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_xlfn.IFS(L313&gt;54, "Old (55+)", L313&gt;=31, "Middle Age (31-54)", L313&lt;31, "Adolescent (&lt;31)")</f>
        <v>Middle Age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_xlfn.IFS(L314&gt;54, "Old (55+)", L314&gt;=31, "Middle Age (31-54)", L314&lt;31, "Adolescent (&lt;31)")</f>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_xlfn.IFS(L315&gt;54, "Old (55+)", L315&gt;=31, "Middle Age (31-54)", L315&lt;31, "Adolescent (&lt;31)")</f>
        <v>Middle Age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_xlfn.IFS(L316&gt;54, "Old (55+)", L316&gt;=31, "Middle Age (31-54)", L316&lt;31, "Adolescent (&lt;31)")</f>
        <v>Middle Age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_xlfn.IFS(L317&gt;54, "Old (55+)", L317&gt;=31, "Middle Age (31-54)", L317&lt;31, "Adolescent (&lt;31)")</f>
        <v>Middle Age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_xlfn.IFS(L318&gt;54, "Old (55+)", L318&gt;=31, "Middle Age (31-54)", L318&lt;31, "Adolescent (&lt;31)")</f>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_xlfn.IFS(L319&gt;54, "Old (55+)", L319&gt;=31, "Middle Age (31-54)", L319&lt;31, "Adolescent (&lt;31)")</f>
        <v>Middle Age (31-54)</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cm="1">
        <f t="array" ref="M320">_xlfn.IFS(L320&gt;54, "Old (55+)", L320&gt;=31, "Middle Age (31-54)", L320&lt;31, "Adolescent (&lt;31)")</f>
        <v>Middle Age (31-54)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_xlfn.IFS(L321&gt;54, "Old (55+)", L321&gt;=31, "Middle Age (31-54)", L321&lt;31, "Adolescent (&lt;31)")</f>
        <v>Middle Age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_xlfn.IFS(L322&gt;54, "Old (55+)", L322&gt;=31, "Middle Age (31-54)", L322&lt;31, "Adolescent (&lt;31)")</f>
        <v>Middle Age (31-54)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_xlfn.IFS(L323&gt;54, "Old (55+)", L323&gt;=31, "Middle Age (31-54)", L323&lt;31, "Adolescent (&lt;31)")</f>
        <v>Middle Age (31-54)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_xlfn.IFS(L324&gt;54, "Old (55+)", L324&gt;=31, "Middle Age (31-54)", L324&lt;31, "Adolescent (&lt;31)")</f>
        <v>Middle Age (31-54)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_xlfn.IFS(L325&gt;54, "Old (55+)", L325&gt;=31, "Middle Age (31-54)", L325&lt;31, "Adolescent (&lt;31)")</f>
        <v>Middle Age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_xlfn.IFS(L326&gt;54, "Old (55+)", L326&gt;=31, "Middle Age (31-54)", L326&lt;31, "Adolescent (&lt;31)")</f>
        <v>Middle Age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_xlfn.IFS(L327&gt;54, "Old (55+)", L327&gt;=31, "Middle Age (31-54)", L327&lt;31, "Adolescent (&lt;31)")</f>
        <v>Middle Age (31-54)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_xlfn.IFS(L328&gt;54, "Old (55+)", L328&gt;=31, "Middle Age (31-54)", L328&lt;31, "Adolescent (&lt;31)")</f>
        <v>Adolescent (&lt;31)</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_xlfn.IFS(L329&gt;54, "Old (55+)", L329&gt;=31, "Middle Age (31-54)", L329&lt;31, "Adolescent (&lt;31)")</f>
        <v>Middle Age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_xlfn.IFS(L330&gt;54, "Old (55+)", L330&gt;=31, "Middle Age (31-54)", L330&lt;31, "Adolescent (&lt;31)")</f>
        <v>Middle Age (31-54)</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cm="1">
        <f t="array" ref="M331">_xlfn.IFS(L331&gt;54, "Old (55+)", L331&gt;=31, "Middle Age (31-54)", L331&lt;31, "Adolescent (&lt;31)")</f>
        <v>Old (55+)</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cm="1">
        <f t="array" ref="M332">_xlfn.IFS(L332&gt;54, "Old (55+)", L332&gt;=31, "Middle Age (31-54)", L332&lt;31, "Adolescent (&lt;31)")</f>
        <v>Middle Age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_xlfn.IFS(L333&gt;54, "Old (55+)", L333&gt;=31, "Middle Age (31-54)", L333&lt;31, "Adolescent (&lt;31)")</f>
        <v>Adolescent (&lt;31)</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_xlfn.IFS(L334&gt;54, "Old (55+)", L334&gt;=31, "Middle Age (31-54)", L334&lt;31, "Adolescent (&lt;31)")</f>
        <v>Middle Age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_xlfn.IFS(L335&gt;54, "Old (55+)", L335&gt;=31, "Middle Age (31-54)", L335&lt;31, "Adolescent (&lt;31)")</f>
        <v>Middle Age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_xlfn.IFS(L336&gt;54, "Old (55+)", L336&gt;=31, "Middle Age (31-54)", L336&lt;31, "Adolescent (&lt;31)")</f>
        <v>Middle Age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_xlfn.IFS(L337&gt;54, "Old (55+)", L337&gt;=31, "Middle Age (31-54)", L337&lt;31, "Adolescent (&lt;31)")</f>
        <v>Middle Age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_xlfn.IFS(L338&gt;54, "Old (55+)", L338&gt;=31, "Middle Age (31-54)", L338&lt;31, "Adolescent (&lt;31)")</f>
        <v>Middle Age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_xlfn.IFS(L339&gt;54, "Old (55+)", L339&gt;=31, "Middle Age (31-54)", L339&lt;31, "Adolescent (&lt;31)")</f>
        <v>Middle Age (31-54)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_xlfn.IFS(L340&gt;54, "Old (55+)", L340&gt;=31, "Middle Age (31-54)", L340&lt;31, "Adolescent (&lt;31)")</f>
        <v>Middle Age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_xlfn.IFS(L341&gt;54, "Old (55+)", L341&gt;=31, "Middle Age (31-54)", L341&lt;31, "Adolescent (&lt;31)")</f>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_xlfn.IFS(L342&gt;54, "Old (55+)", L342&gt;=31, "Middle Age (31-54)", L342&lt;31, "Adolescent (&lt;31)")</f>
        <v>Adolescent (&lt;31)</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_xlfn.IFS(L343&gt;54, "Old (55+)", L343&gt;=31, "Middle Age (31-54)", L343&lt;31, "Adolescent (&lt;31)")</f>
        <v>Middle Age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_xlfn.IFS(L344&gt;54, "Old (55+)", L344&gt;=31, "Middle Age (31-54)", L344&lt;31, "Adolescent (&lt;31)")</f>
        <v>Middle Age (31-54)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_xlfn.IFS(L345&gt;54, "Old (55+)", L345&gt;=31, "Middle Age (31-54)", L345&lt;31, "Adolescent (&lt;31)")</f>
        <v>Middle Age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_xlfn.IFS(L346&gt;54, "Old (55+)", L346&gt;=31, "Middle Age (31-54)", L346&lt;31, "Adolescent (&lt;31)")</f>
        <v>Middle Age (31-54)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_xlfn.IFS(L347&gt;54, "Old (55+)", L347&gt;=31, "Middle Age (31-54)", L347&lt;31, "Adolescent (&lt;31)")</f>
        <v>Middle Age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_xlfn.IFS(L348&gt;54, "Old (55+)", L348&gt;=31, "Middle Age (31-54)", L348&lt;31, "Adolescent (&lt;31)")</f>
        <v>Middle Age (31-54)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_xlfn.IFS(L349&gt;54, "Old (55+)", L349&gt;=31, "Middle Age (31-54)", L349&lt;31, "Adolescent (&lt;31)")</f>
        <v>Middle Age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_xlfn.IFS(L350&gt;54, "Old (55+)", L350&gt;=31, "Middle Age (31-54)", L350&lt;31, "Adolescent (&lt;31)")</f>
        <v>Middle Age (31-54)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_xlfn.IFS(L351&gt;54, "Old (55+)", L351&gt;=31, "Middle Age (31-54)", L351&lt;31, "Adolescent (&lt;31)")</f>
        <v>Adolescent (&lt;31)</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_xlfn.IFS(L352&gt;54, "Old (55+)", L352&gt;=31, "Middle Age (31-54)", L352&lt;31, "Adolescent (&lt;31)")</f>
        <v>Adolescent (&lt;31)</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_xlfn.IFS(L353&gt;54, "Old (55+)", L353&gt;=31, "Middle Age (31-54)", L353&lt;31, "Adolescent (&lt;31)")</f>
        <v>Middle Age (31-54)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_xlfn.IFS(L354&gt;54, "Old (55+)", L354&gt;=31, "Middle Age (31-54)", L354&lt;31, "Adolescent (&lt;31)")</f>
        <v>Middle Age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_xlfn.IFS(L355&gt;54, "Old (55+)", L355&gt;=31, "Middle Age (31-54)", L355&lt;31, "Adolescent (&lt;31)")</f>
        <v>Middle Age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_xlfn.IFS(L356&gt;54, "Old (55+)", L356&gt;=31, "Middle Age (31-54)", L356&lt;31, "Adolescent (&lt;31)")</f>
        <v>Middle Age (31-54)</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cm="1">
        <f t="array" ref="M357">_xlfn.IFS(L357&gt;54, "Old (55+)", L357&gt;=31, "Middle Age (31-54)", L357&lt;31, "Adolescent (&lt;31)")</f>
        <v>Middle Age (31-54)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_xlfn.IFS(L358&gt;54, "Old (55+)", L358&gt;=31, "Middle Age (31-54)", L358&lt;31, "Adolescent (&lt;31)")</f>
        <v>Middle Age (31-54)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_xlfn.IFS(L359&gt;54, "Old (55+)", L359&gt;=31, "Middle Age (31-54)", L359&lt;31, "Adolescent (&lt;31)")</f>
        <v>Middle Age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_xlfn.IFS(L360&gt;54, "Old (55+)", L360&gt;=31, "Middle Age (31-54)", L360&lt;31, "Adolescent (&lt;31)")</f>
        <v>Old (55+)</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cm="1">
        <f t="array" ref="M361">_xlfn.IFS(L361&gt;54, "Old (55+)", L361&gt;=31, "Middle Age (31-54)", L361&lt;31, "Adolescent (&lt;31)")</f>
        <v>Adolescent (&lt;31)</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_xlfn.IFS(L362&gt;54, "Old (55+)", L362&gt;=31, "Middle Age (31-54)", L362&lt;31, "Adolescent (&lt;31)")</f>
        <v>Middle Age (31-54)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_xlfn.IFS(L363&gt;54, "Old (55+)", L363&gt;=31, "Middle Age (31-54)", L363&lt;31, "Adolescent (&lt;31)")</f>
        <v>Adolescent (&lt;31)</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_xlfn.IFS(L364&gt;54, "Old (55+)", L364&gt;=31, "Middle Age (31-54)", L364&lt;31, "Adolescent (&lt;31)")</f>
        <v>Middle Age (31-54)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_xlfn.IFS(L365&gt;54, "Old (55+)", L365&gt;=31, "Middle Age (31-54)", L365&lt;31, "Adolescent (&lt;31)")</f>
        <v>Old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_xlfn.IFS(L366&gt;54, "Old (55+)", L366&gt;=31, "Middle Age (31-54)", L366&lt;31, "Adolescent (&lt;31)")</f>
        <v>Middle Age (31-54)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_xlfn.IFS(L367&gt;54, "Old (55+)", L367&gt;=31, "Middle Age (31-54)", L367&lt;31, "Adolescent (&lt;31)")</f>
        <v>Middle Age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_xlfn.IFS(L368&gt;54, "Old (55+)", L368&gt;=31, "Middle Age (31-54)", L368&lt;31, "Adolescent (&lt;31)")</f>
        <v>Middle Age (31-54)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_xlfn.IFS(L369&gt;54, "Old (55+)", L369&gt;=31, "Middle Age (31-54)", L369&lt;31, "Adolescent (&lt;31)")</f>
        <v>Middle Age (31-54)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_xlfn.IFS(L370&gt;54, "Old (55+)", L370&gt;=31, "Middle Age (31-54)", L370&lt;31, "Adolescent (&lt;31)")</f>
        <v>Old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_xlfn.IFS(L371&gt;54, "Old (55+)", L371&gt;=31, "Middle Age (31-54)", L371&lt;31, "Adolescent (&lt;31)")</f>
        <v>Middle Age (31-54)</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cm="1">
        <f t="array" ref="M372">_xlfn.IFS(L372&gt;54, "Old (55+)", L372&gt;=31, "Middle Age (31-54)", L372&lt;31, "Adolescent (&lt;31)")</f>
        <v>Middle Age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_xlfn.IFS(L373&gt;54, "Old (55+)", L373&gt;=31, "Middle Age (31-54)", L373&lt;31, "Adolescent (&lt;31)")</f>
        <v>Middle Age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_xlfn.IFS(L374&gt;54, "Old (55+)", L374&gt;=31, "Middle Age (31-54)", L374&lt;31, "Adolescent (&lt;31)")</f>
        <v>Middle Age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_xlfn.IFS(L375&gt;54, "Old (55+)", L375&gt;=31, "Middle Age (31-54)", L375&lt;31, "Adolescent (&lt;31)")</f>
        <v>Adolescent (&lt;31)</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_xlfn.IFS(L376&gt;54, "Old (55+)", L376&gt;=31, "Middle Age (31-54)", L376&lt;31, "Adolescent (&lt;31)")</f>
        <v>Middle Age (31-54)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_xlfn.IFS(L377&gt;54, "Old (55+)", L377&gt;=31, "Middle Age (31-54)", L377&lt;31, "Adolescent (&lt;31)")</f>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_xlfn.IFS(L378&gt;54, "Old (55+)", L378&gt;=31, "Middle Age (31-54)", L378&lt;31, "Adolescent (&lt;31)")</f>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_xlfn.IFS(L379&gt;54, "Old (55+)", L379&gt;=31, "Middle Age (31-54)", L379&lt;31, "Adolescent (&lt;31)")</f>
        <v>Middle Age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_xlfn.IFS(L380&gt;54, "Old (55+)", L380&gt;=31, "Middle Age (31-54)", L380&lt;31, "Adolescent (&lt;31)")</f>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_xlfn.IFS(L381&gt;54, "Old (55+)", L381&gt;=31, "Middle Age (31-54)", L381&lt;31, "Adolescent (&lt;31)")</f>
        <v>Middle Age (31-54)</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cm="1">
        <f t="array" ref="M382">_xlfn.IFS(L382&gt;54, "Old (55+)", L382&gt;=31, "Middle Age (31-54)", L382&lt;31, "Adolescent (&lt;31)")</f>
        <v>Adolescent (&lt;31)</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_xlfn.IFS(L383&gt;54, "Old (55+)", L383&gt;=31, "Middle Age (31-54)", L383&lt;31, "Adolescent (&lt;31)")</f>
        <v>Old (55+)</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cm="1">
        <f t="array" ref="M384">_xlfn.IFS(L384&gt;54, "Old (55+)", L384&gt;=31, "Middle Age (31-54)", L384&lt;31, "Adolescent (&lt;31)")</f>
        <v>Middle Age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_xlfn.IFS(L385&gt;54, "Old (55+)", L385&gt;=31, "Middle Age (31-54)", L385&lt;31, "Adolescent (&lt;31)")</f>
        <v>Middle Age (31-54)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_xlfn.IFS(L386&gt;54, "Old (55+)", L386&gt;=31, "Middle Age (31-54)", L386&lt;31, "Adolescent (&lt;31)")</f>
        <v>Adolescent (&lt;31)</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_xlfn.IFS(L387&gt;54, "Old (55+)", L387&gt;=31, "Middle Age (31-54)", L387&lt;31, "Adolescent (&lt;31)")</f>
        <v>Middle Age (31-54)</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cm="1">
        <f t="array" ref="M388">_xlfn.IFS(L388&gt;54, "Old (55+)", L388&gt;=31, "Middle Age (31-54)", L388&lt;31, "Adolescent (&lt;31)")</f>
        <v>Middle Age (31-54)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_xlfn.IFS(L389&gt;54, "Old (55+)", L389&gt;=31, "Middle Age (31-54)", L389&lt;31, "Adolescent (&lt;31)")</f>
        <v>Middle Age (31-54)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_xlfn.IFS(L390&gt;54, "Old (55+)", L390&gt;=31, "Middle Age (31-54)", L390&lt;31, "Adolescent (&lt;31)")</f>
        <v>Old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_xlfn.IFS(L391&gt;54, "Old (55+)", L391&gt;=31, "Middle Age (31-54)", L391&lt;31, "Adolescent (&lt;31)")</f>
        <v>Middle Age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_xlfn.IFS(L392&gt;54, "Old (55+)", L392&gt;=31, "Middle Age (31-54)", L392&lt;31, "Adolescent (&lt;31)")</f>
        <v>Middle Age (31-54)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_xlfn.IFS(L393&gt;54, "Old (55+)", L393&gt;=31, "Middle Age (31-54)", L393&lt;31, "Adolescent (&lt;31)")</f>
        <v>Middle Age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_xlfn.IFS(L394&gt;54, "Old (55+)", L394&gt;=31, "Middle Age (31-54)", L394&lt;31, "Adolescent (&lt;31)")</f>
        <v>Middle Age (31-54)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_xlfn.IFS(L395&gt;54, "Old (55+)", L395&gt;=31, "Middle Age (31-54)", L395&lt;31, "Adolescent (&lt;31)")</f>
        <v>Middle Age (31-54)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_xlfn.IFS(L396&gt;54, "Old (55+)", L396&gt;=31, "Middle Age (31-54)", L396&lt;31, "Adolescent (&lt;31)")</f>
        <v>Middle Age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_xlfn.IFS(L397&gt;54, "Old (55+)", L397&gt;=31, "Middle Age (31-54)", L397&lt;31, "Adolescent (&lt;31)")</f>
        <v>Middle Age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_xlfn.IFS(L398&gt;54, "Old (55+)", L398&gt;=31, "Middle Age (31-54)", L398&lt;31, "Adolescent (&lt;31)")</f>
        <v>Middle Age (31-54)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_xlfn.IFS(L399&gt;54, "Old (55+)", L399&gt;=31, "Middle Age (31-54)", L399&lt;31, "Adolescent (&lt;31)")</f>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_xlfn.IFS(L400&gt;54, "Old (55+)", L400&gt;=31, "Middle Age (31-54)", L400&lt;31, "Adolescent (&lt;31)")</f>
        <v>Middle Age (31-54)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_xlfn.IFS(L401&gt;54, "Old (55+)", L401&gt;=31, "Middle Age (31-54)", L401&lt;31, "Adolescent (&lt;31)")</f>
        <v>Middle Age (31-54)</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cm="1">
        <f t="array" ref="M402">_xlfn.IFS(L402&gt;54, "Old (55+)", L402&gt;=31, "Middle Age (31-54)", L402&lt;31, "Adolescent (&lt;31)")</f>
        <v>Middle Age (31-54)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_xlfn.IFS(L403&gt;54, "Old (55+)", L403&gt;=31, "Middle Age (31-54)", L403&lt;31, "Adolescent (&lt;31)")</f>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_xlfn.IFS(L404&gt;54, "Old (55+)", L404&gt;=31, "Middle Age (31-54)", L404&lt;31, "Adolescent (&lt;31)")</f>
        <v>Middle Age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_xlfn.IFS(L405&gt;54, "Old (55+)", L405&gt;=31, "Middle Age (31-54)", L405&lt;31, "Adolescent (&lt;31)")</f>
        <v>Middle Age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_xlfn.IFS(L406&gt;54, "Old (55+)", L406&gt;=31, "Middle Age (31-54)", L406&lt;31, "Adolescent (&lt;31)")</f>
        <v>Middle Age (31-54)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_xlfn.IFS(L407&gt;54, "Old (55+)", L407&gt;=31, "Middle Age (31-54)", L407&lt;31, "Adolescent (&lt;31)")</f>
        <v>Middle Age (31-54)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_xlfn.IFS(L408&gt;54, "Old (55+)", L408&gt;=31, "Middle Age (31-54)", L408&lt;31, "Adolescent (&lt;31)")</f>
        <v>Middle Age (31-54)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_xlfn.IFS(L409&gt;54, "Old (55+)", L409&gt;=31, "Middle Age (31-54)", L409&lt;31, "Adolescent (&lt;31)")</f>
        <v>Middle Age (31-54)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_xlfn.IFS(L410&gt;54, "Old (55+)", L410&gt;=31, "Middle Age (31-54)", L410&lt;31, "Adolescent (&lt;31)")</f>
        <v>Middle Age (31-54)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_xlfn.IFS(L411&gt;54, "Old (55+)", L411&gt;=31, "Middle Age (31-54)", L411&lt;31, "Adolescent (&lt;31)")</f>
        <v>Middle Age (31-54)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_xlfn.IFS(L412&gt;54, "Old (55+)", L412&gt;=31, "Middle Age (31-54)", L412&lt;31, "Adolescent (&lt;31)")</f>
        <v>Middle Age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_xlfn.IFS(L413&gt;54, "Old (55+)", L413&gt;=31, "Middle Age (31-54)", L413&lt;31, "Adolescent (&lt;31)")</f>
        <v>Middle Age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_xlfn.IFS(L414&gt;54, "Old (55+)", L414&gt;=31, "Middle Age (31-54)", L414&lt;31, "Adolescent (&lt;31)")</f>
        <v>Middle Age (31-54)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_xlfn.IFS(L415&gt;54, "Old (55+)", L415&gt;=31, "Middle Age (31-54)", L415&lt;31, "Adolescent (&lt;31)")</f>
        <v>Old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_xlfn.IFS(L416&gt;54, "Old (55+)", L416&gt;=31, "Middle Age (31-54)", L416&lt;31, "Adolescent (&lt;31)")</f>
        <v>Middle Age (31-54)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_xlfn.IFS(L417&gt;54, "Old (55+)", L417&gt;=31, "Middle Age (31-54)", L417&lt;31, "Adolescent (&lt;31)")</f>
        <v>Middle Age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_xlfn.IFS(L418&gt;54, "Old (55+)", L418&gt;=31, "Middle Age (31-54)", L418&lt;31, "Adolescent (&lt;31)")</f>
        <v>Middle Age (31-54)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_xlfn.IFS(L419&gt;54, "Old (55+)", L419&gt;=31, "Middle Age (31-54)", L419&lt;31, "Adolescent (&lt;31)")</f>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_xlfn.IFS(L420&gt;54, "Old (55+)", L420&gt;=31, "Middle Age (31-54)", L420&lt;31, "Adolescent (&lt;31)")</f>
        <v>Middle Age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_xlfn.IFS(L421&gt;54, "Old (55+)", L421&gt;=31, "Middle Age (31-54)", L421&lt;31, "Adolescent (&lt;31)")</f>
        <v>Middle Age (31-54)</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cm="1">
        <f t="array" ref="M422">_xlfn.IFS(L422&gt;54, "Old (55+)", L422&gt;=31, "Middle Age (31-54)", L422&lt;31, "Adolescent (&lt;31)")</f>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_xlfn.IFS(L423&gt;54, "Old (55+)", L423&gt;=31, "Middle Age (31-54)", L423&lt;31, "Adolescent (&lt;31)")</f>
        <v>Middle Age (31-54)</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cm="1">
        <f t="array" ref="M424">_xlfn.IFS(L424&gt;54, "Old (55+)", L424&gt;=31, "Middle Age (31-54)", L424&lt;31, "Adolescent (&lt;31)")</f>
        <v>Middle Age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_xlfn.IFS(L425&gt;54, "Old (55+)", L425&gt;=31, "Middle Age (31-54)", L425&lt;31, "Adolescent (&lt;31)")</f>
        <v>Middle Age (31-54)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_xlfn.IFS(L426&gt;54, "Old (55+)", L426&gt;=31, "Middle Age (31-54)", L426&lt;31, "Adolescent (&lt;31)")</f>
        <v>Middle Age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_xlfn.IFS(L427&gt;54, "Old (55+)", L427&gt;=31, "Middle Age (31-54)", L427&lt;31, "Adolescent (&lt;31)")</f>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_xlfn.IFS(L428&gt;54, "Old (55+)", L428&gt;=31, "Middle Age (31-54)", L428&lt;31, "Adolescent (&lt;31)")</f>
        <v>Adolescent (&lt;31)</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_xlfn.IFS(L429&gt;54, "Old (55+)", L429&gt;=31, "Middle Age (31-54)", L429&lt;31, "Adolescent (&lt;31)")</f>
        <v>Middle Age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_xlfn.IFS(L430&gt;54, "Old (55+)", L430&gt;=31, "Middle Age (31-54)", L430&lt;31, "Adolescent (&lt;31)")</f>
        <v>Middle Age (31-54)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_xlfn.IFS(L431&gt;54, "Old (55+)", L431&gt;=31, "Middle Age (31-54)", L431&lt;31, "Adolescent (&lt;31)")</f>
        <v>Middle Age (31-54)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_xlfn.IFS(L432&gt;54, "Old (55+)", L432&gt;=31, "Middle Age (31-54)", L432&lt;31, "Adolescent (&lt;31)")</f>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_xlfn.IFS(L433&gt;54, "Old (55+)", L433&gt;=31, "Middle Age (31-54)", L433&lt;31, "Adolescent (&lt;31)")</f>
        <v>Adolescent (&lt;31)</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cm="1">
        <f t="array" ref="M434">_xlfn.IFS(L434&gt;54, "Old (55+)", L434&gt;=31, "Middle Age (31-54)", L434&lt;31, "Adolescent (&lt;31)")</f>
        <v>Middle Age (31-54)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_xlfn.IFS(L435&gt;54, "Old (55+)", L435&gt;=31, "Middle Age (31-54)", L435&lt;31, "Adolescent (&lt;31)")</f>
        <v>Adolescent (&lt;31)</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_xlfn.IFS(L436&gt;54, "Old (55+)", L436&gt;=31, "Middle Age (31-54)", L436&lt;31, "Adolescent (&lt;31)")</f>
        <v>Middle Age (31-54)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_xlfn.IFS(L437&gt;54, "Old (55+)", L437&gt;=31, "Middle Age (31-54)", L437&lt;31, "Adolescent (&lt;31)")</f>
        <v>Old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_xlfn.IFS(L438&gt;54, "Old (55+)", L438&gt;=31, "Middle Age (31-54)", L438&lt;31, "Adolescent (&lt;31)")</f>
        <v>Middle Age (31-54)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_xlfn.IFS(L439&gt;54, "Old (55+)", L439&gt;=31, "Middle Age (31-54)", L439&lt;31, "Adolescent (&lt;31)")</f>
        <v>Adolescent (&lt;31)</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_xlfn.IFS(L440&gt;54, "Old (55+)", L440&gt;=31, "Middle Age (31-54)", L440&lt;31, "Adolescent (&lt;31)")</f>
        <v>Middle Age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_xlfn.IFS(L441&gt;54, "Old (55+)", L441&gt;=31, "Middle Age (31-54)", L441&lt;31, "Adolescent (&lt;31)")</f>
        <v>Middle Age (31-54)</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cm="1">
        <f t="array" ref="M442">_xlfn.IFS(L442&gt;54, "Old (55+)", L442&gt;=31, "Middle Age (31-54)", L442&lt;31, "Adolescent (&lt;31)")</f>
        <v>Middle Age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_xlfn.IFS(L443&gt;54, "Old (55+)", L443&gt;=31, "Middle Age (31-54)", L443&lt;31, "Adolescent (&lt;31)")</f>
        <v>Middle Age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_xlfn.IFS(L444&gt;54, "Old (55+)", L444&gt;=31, "Middle Age (31-54)", L444&lt;31, "Adolescent (&lt;31)")</f>
        <v>Middle Age (31-54)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_xlfn.IFS(L445&gt;54, "Old (55+)", L445&gt;=31, "Middle Age (31-54)", L445&lt;31, "Adolescent (&lt;31)")</f>
        <v>Middle Age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_xlfn.IFS(L446&gt;54, "Old (55+)", L446&gt;=31, "Middle Age (31-54)", L446&lt;31, "Adolescent (&lt;31)")</f>
        <v>Middle Age (31-54)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_xlfn.IFS(L447&gt;54, "Old (55+)", L447&gt;=31, "Middle Age (31-54)", L447&lt;31, "Adolescent (&lt;31)")</f>
        <v>Middle Age (31-54)</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cm="1">
        <f t="array" ref="M448">_xlfn.IFS(L448&gt;54, "Old (55+)", L448&gt;=31, "Middle Age (31-54)", L448&lt;31, "Adolescent (&lt;31)")</f>
        <v>Middle Age (31-54)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_xlfn.IFS(L449&gt;54, "Old (55+)", L449&gt;=31, "Middle Age (31-54)", L449&lt;31, "Adolescent (&lt;31)")</f>
        <v>Middle Age (31-54)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_xlfn.IFS(L450&gt;54, "Old (55+)", L450&gt;=31, "Middle Age (31-54)", L450&lt;31, "Adolescent (&lt;31)")</f>
        <v>Middle Age (31-54)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_xlfn.IFS(L451&gt;54, "Old (55+)", L451&gt;=31, "Middle Age (31-54)", L451&lt;31, "Adolescent (&lt;31)")</f>
        <v>Middle Age (31-54)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_xlfn.IFS(L452&gt;54, "Old (55+)", L452&gt;=31, "Middle Age (31-54)", L452&lt;31, "Adolescent (&lt;31)")</f>
        <v>Middle Age (31-54)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_xlfn.IFS(L453&gt;54, "Old (55+)", L453&gt;=31, "Middle Age (31-54)", L453&lt;31, "Adolescent (&lt;31)")</f>
        <v>Middle Age (31-54)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_xlfn.IFS(L454&gt;54, "Old (55+)", L454&gt;=31, "Middle Age (31-54)", L454&lt;31, "Adolescent (&lt;31)")</f>
        <v>Old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_xlfn.IFS(L455&gt;54, "Old (55+)", L455&gt;=31, "Middle Age (31-54)", L455&lt;31, "Adolescent (&lt;31)")</f>
        <v>Middle Age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_xlfn.IFS(L456&gt;54, "Old (55+)", L456&gt;=31, "Middle Age (31-54)", L456&lt;31, "Adolescent (&lt;31)")</f>
        <v>Middle Age (31-54)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_xlfn.IFS(L457&gt;54, "Old (55+)", L457&gt;=31, "Middle Age (31-54)", L457&lt;31, "Adolescent (&lt;31)")</f>
        <v>Middle Age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_xlfn.IFS(L458&gt;54, "Old (55+)", L458&gt;=31, "Middle Age (31-54)", L458&lt;31, "Adolescent (&lt;31)")</f>
        <v>Middle Age (31-54)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_xlfn.IFS(L459&gt;54, "Old (55+)", L459&gt;=31, "Middle Age (31-54)", L459&lt;31, "Adolescent (&lt;31)")</f>
        <v>Old (55+)</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cm="1">
        <f t="array" ref="M460">_xlfn.IFS(L460&gt;54, "Old (55+)", L460&gt;=31, "Middle Age (31-54)", L460&lt;31, "Adolescent (&lt;31)")</f>
        <v>Middle Age (31-54)</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cm="1">
        <f t="array" ref="M461">_xlfn.IFS(L461&gt;54, "Old (55+)", L461&gt;=31, "Middle Age (31-54)", L461&lt;31, "Adolescent (&lt;31)")</f>
        <v>Middle Age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_xlfn.IFS(L462&gt;54, "Old (55+)", L462&gt;=31, "Middle Age (31-54)", L462&lt;31, "Adolescent (&lt;31)")</f>
        <v>Middle Age (31-54)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_xlfn.IFS(L463&gt;54, "Old (55+)", L463&gt;=31, "Middle Age (31-54)", L463&lt;31, "Adolescent (&lt;31)")</f>
        <v>Middle Age (31-54)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_xlfn.IFS(L464&gt;54, "Old (55+)", L464&gt;=31, "Middle Age (31-54)", L464&lt;31, "Adolescent (&lt;31)")</f>
        <v>Middle Age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_xlfn.IFS(L465&gt;54, "Old (55+)", L465&gt;=31, "Middle Age (31-54)", L465&lt;31, "Adolescent (&lt;31)")</f>
        <v>Middle Age (31-54)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_xlfn.IFS(L466&gt;54, "Old (55+)", L466&gt;=31, "Middle Age (31-54)", L466&lt;31, "Adolescent (&lt;31)")</f>
        <v>Middle Age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_xlfn.IFS(L467&gt;54, "Old (55+)", L467&gt;=31, "Middle Age (31-54)", L467&lt;31, "Adolescent (&lt;31)")</f>
        <v>Old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_xlfn.IFS(L468&gt;54, "Old (55+)", L468&gt;=31, "Middle Age (31-54)", L468&lt;31, "Adolescent (&lt;31)")</f>
        <v>Middle Age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_xlfn.IFS(L469&gt;54, "Old (55+)", L469&gt;=31, "Middle Age (31-54)", L469&lt;31, "Adolescent (&lt;31)")</f>
        <v>Middle Age (31-54)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_xlfn.IFS(L470&gt;54, "Old (55+)", L470&gt;=31, "Middle Age (31-54)", L470&lt;31, "Adolescent (&lt;31)")</f>
        <v>Middle Age (31-54)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_xlfn.IFS(L471&gt;54, "Old (55+)", L471&gt;=31, "Middle Age (31-54)", L471&lt;31, "Adolescent (&lt;31)")</f>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_xlfn.IFS(L472&gt;54, "Old (55+)", L472&gt;=31, "Middle Age (31-54)", L472&lt;31, "Adolescent (&lt;31)")</f>
        <v>Adolescent (&lt;31)</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_xlfn.IFS(L473&gt;54, "Old (55+)", L473&gt;=31, "Middle Age (31-54)", L473&lt;31, "Adolescent (&lt;31)")</f>
        <v>Middle Age (31-54)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_xlfn.IFS(L474&gt;54, "Old (55+)", L474&gt;=31, "Middle Age (31-54)", L474&lt;31, "Adolescent (&lt;31)")</f>
        <v>Middle Age (31-54)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_xlfn.IFS(L475&gt;54, "Old (55+)", L475&gt;=31, "Middle Age (31-54)", L475&lt;31, "Adolescent (&lt;31)")</f>
        <v>Middle Age (31-54)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_xlfn.IFS(L476&gt;54, "Old (55+)", L476&gt;=31, "Middle Age (31-54)", L476&lt;31, "Adolescent (&lt;31)")</f>
        <v>Middle Age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_xlfn.IFS(L477&gt;54, "Old (55+)", L477&gt;=31, "Middle Age (31-54)", L477&lt;31, "Adolescent (&lt;31)")</f>
        <v>Old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_xlfn.IFS(L478&gt;54, "Old (55+)", L478&gt;=31, "Middle Age (31-54)", L478&lt;31, "Adolescent (&lt;31)")</f>
        <v>Middle Age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_xlfn.IFS(L479&gt;54, "Old (55+)", L479&gt;=31, "Middle Age (31-54)", L479&lt;31, "Adolescent (&lt;31)")</f>
        <v>Middle Age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_xlfn.IFS(L480&gt;54, "Old (55+)", L480&gt;=31, "Middle Age (31-54)", L480&lt;31, "Adolescent (&lt;31)")</f>
        <v>Middle Age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_xlfn.IFS(L481&gt;54, "Old (55+)", L481&gt;=31, "Middle Age (31-54)", L481&lt;31, "Adolescent (&lt;31)")</f>
        <v>Middle Age (31-54)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_xlfn.IFS(L482&gt;54, "Old (55+)", L482&gt;=31, "Middle Age (31-54)", L482&lt;31, "Adolescent (&lt;31)")</f>
        <v>Middle Age (31-54)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_xlfn.IFS(L483&gt;54, "Old (55+)", L483&gt;=31, "Middle Age (31-54)", L483&lt;31, "Adolescent (&lt;31)")</f>
        <v>Middle Age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_xlfn.IFS(L484&gt;54, "Old (55+)", L484&gt;=31, "Middle Age (31-54)", L484&lt;31, "Adolescent (&lt;31)")</f>
        <v>Middle Age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_xlfn.IFS(L485&gt;54, "Old (55+)", L485&gt;=31, "Middle Age (31-54)", L485&lt;31, "Adolescent (&lt;31)")</f>
        <v>Old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_xlfn.IFS(L486&gt;54, "Old (55+)", L486&gt;=31, "Middle Age (31-54)", L486&lt;31, "Adolescent (&lt;31)")</f>
        <v>Middle Age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_xlfn.IFS(L487&gt;54, "Old (55+)", L487&gt;=31, "Middle Age (31-54)", L487&lt;31, "Adolescent (&lt;31)")</f>
        <v>Middle Age (31-54)</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cm="1">
        <f t="array" ref="M488">_xlfn.IFS(L488&gt;54, "Old (55+)", L488&gt;=31, "Middle Age (31-54)", L488&lt;31, "Adolescent (&lt;31)")</f>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_xlfn.IFS(L489&gt;54, "Old (55+)", L489&gt;=31, "Middle Age (31-54)", L489&lt;31, "Adolescent (&lt;31)")</f>
        <v>Middle Age (31-54)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_xlfn.IFS(L490&gt;54, "Old (55+)", L490&gt;=31, "Middle Age (31-54)", L490&lt;31, "Adolescent (&lt;31)")</f>
        <v>Middle Age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_xlfn.IFS(L491&gt;54, "Old (55+)", L491&gt;=31, "Middle Age (31-54)", L491&lt;31, "Adolescent (&lt;31)")</f>
        <v>Middle Age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_xlfn.IFS(L492&gt;54, "Old (55+)", L492&gt;=31, "Middle Age (31-54)", L492&lt;31, "Adolescent (&lt;31)")</f>
        <v>Middle Age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_xlfn.IFS(L493&gt;54, "Old (55+)", L493&gt;=31, "Middle Age (31-54)", L493&lt;31, "Adolescent (&lt;31)")</f>
        <v>Middle Age (31-54)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_xlfn.IFS(L494&gt;54, "Old (55+)", L494&gt;=31, "Middle Age (31-54)", L494&lt;31, "Adolescent (&lt;31)")</f>
        <v>Middle Age (31-54)</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cm="1">
        <f t="array" ref="M495">_xlfn.IFS(L495&gt;54, "Old (55+)", L495&gt;=31, "Middle Age (31-54)", L495&lt;31, "Adolescent (&lt;31)")</f>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_xlfn.IFS(L496&gt;54, "Old (55+)", L496&gt;=31, "Middle Age (31-54)", L496&lt;31, "Adolescent (&lt;31)")</f>
        <v>Middle Age (31-54)</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cm="1">
        <f t="array" ref="M497">_xlfn.IFS(L497&gt;54, "Old (55+)", L497&gt;=31, "Middle Age (31-54)", L497&lt;31, "Adolescent (&lt;31)")</f>
        <v>Old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_xlfn.IFS(L498&gt;54, "Old (55+)", L498&gt;=31, "Middle Age (31-54)", L498&lt;31, "Adolescent (&lt;31)")</f>
        <v>Middle Age (31-54)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_xlfn.IFS(L499&gt;54, "Old (55+)", L499&gt;=31, "Middle Age (31-54)", L499&lt;31, "Adolescent (&lt;31)")</f>
        <v>Middle Age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_xlfn.IFS(L500&gt;54, "Old (55+)", L500&gt;=31, "Middle Age (31-54)", L500&lt;31, "Adolescent (&lt;31)")</f>
        <v>Middle Age (31-54)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_xlfn.IFS(L501&gt;54, "Old (55+)", L501&gt;=31, "Middle Age (31-54)", L501&lt;31, "Adolescent (&lt;31)")</f>
        <v>Middle Age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_xlfn.IFS(L502&gt;54, "Old (55+)", L502&gt;=31, "Middle Age (31-54)", L502&lt;31, "Adolescent (&lt;31)")</f>
        <v>Middle Age (31-54)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_xlfn.IFS(L503&gt;54, "Old (55+)", L503&gt;=31, "Middle Age (31-54)", L503&lt;31, "Adolescent (&lt;31)")</f>
        <v>Middle Age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_xlfn.IFS(L504&gt;54, "Old (55+)", L504&gt;=31, "Middle Age (31-54)", L504&lt;31, "Adolescent (&lt;31)")</f>
        <v>Adolescent (&lt;31)</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_xlfn.IFS(L505&gt;54, "Old (55+)", L505&gt;=31, "Middle Age (31-54)", L505&lt;31, "Adolescent (&lt;31)")</f>
        <v>Middle Age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_xlfn.IFS(L506&gt;54, "Old (55+)", L506&gt;=31, "Middle Age (31-54)", L506&lt;31, "Adolescent (&lt;31)")</f>
        <v>Middle Age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_xlfn.IFS(L507&gt;54, "Old (55+)", L507&gt;=31, "Middle Age (31-54)", L507&lt;31, "Adolescent (&lt;31)")</f>
        <v>Middle Age (31-54)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_xlfn.IFS(L508&gt;54, "Old (55+)", L508&gt;=31, "Middle Age (31-54)", L508&lt;31, "Adolescent (&lt;31)")</f>
        <v>Middle Age (31-54)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_xlfn.IFS(L509&gt;54, "Old (55+)", L509&gt;=31, "Middle Age (31-54)", L509&lt;31, "Adolescent (&lt;31)")</f>
        <v>Middle Age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_xlfn.IFS(L510&gt;54, "Old (55+)", L510&gt;=31, "Middle Age (31-54)", L510&lt;31, "Adolescent (&lt;31)")</f>
        <v>Adolescent (&lt;31)</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_xlfn.IFS(L511&gt;54, "Old (55+)", L511&gt;=31, "Middle Age (31-54)", L511&lt;31, "Adolescent (&lt;31)")</f>
        <v>Middle Age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_xlfn.IFS(L512&gt;54, "Old (55+)", L512&gt;=31, "Middle Age (31-54)", L512&lt;31, "Adolescent (&lt;31)")</f>
        <v>Middle Age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_xlfn.IFS(L513&gt;54, "Old (55+)", L513&gt;=31, "Middle Age (31-54)", L513&lt;31, "Adolescent (&lt;31)")</f>
        <v>Old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_xlfn.IFS(L514&gt;54, "Old (55+)", L514&gt;=31, "Middle Age (31-54)", L514&lt;31, "Adolescent (&lt;31)")</f>
        <v>Middle Age (31-54)</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cm="1">
        <f t="array" ref="M515">_xlfn.IFS(L515&gt;54, "Old (55+)", L515&gt;=31, "Middle Age (31-54)", L515&lt;31, "Adolescent (&lt;31)")</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_xlfn.IFS(L516&gt;54, "Old (55+)", L516&gt;=31, "Middle Age (31-54)", L516&lt;31, "Adolescent (&lt;31)")</f>
        <v>Middle Age (31-54)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_xlfn.IFS(L517&gt;54, "Old (55+)", L517&gt;=31, "Middle Age (31-54)", L517&lt;31, "Adolescent (&lt;31)")</f>
        <v>Middle Age (31-54)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_xlfn.IFS(L518&gt;54, "Old (55+)", L518&gt;=31, "Middle Age (31-54)", L518&lt;31, "Adolescent (&lt;31)")</f>
        <v>Middle Age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_xlfn.IFS(L519&gt;54, "Old (55+)", L519&gt;=31, "Middle Age (31-54)", L519&lt;31, "Adolescent (&lt;31)")</f>
        <v>Middle Age (31-54)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_xlfn.IFS(L520&gt;54, "Old (55+)", L520&gt;=31, "Middle Age (31-54)", L520&lt;31, "Adolescent (&lt;31)")</f>
        <v>Middle Age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_xlfn.IFS(L521&gt;54, "Old (55+)", L521&gt;=31, "Middle Age (31-54)", L521&lt;31, "Adolescent (&lt;31)")</f>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_xlfn.IFS(L522&gt;54, "Old (55+)", L522&gt;=31, "Middle Age (31-54)", L522&lt;31, "Adolescent (&lt;31)")</f>
        <v>Middle Age (31-54)</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cm="1">
        <f t="array" ref="M523">_xlfn.IFS(L523&gt;54, "Old (55+)", L523&gt;=31, "Middle Age (31-54)", L523&lt;31, "Adolescent (&lt;31)")</f>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_xlfn.IFS(L524&gt;54, "Old (55+)", L524&gt;=31, "Middle Age (31-54)", L524&lt;31, "Adolescent (&lt;31)")</f>
        <v>Middle Age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_xlfn.IFS(L525&gt;54, "Old (55+)", L525&gt;=31, "Middle Age (31-54)", L525&lt;31, "Adolescent (&lt;31)")</f>
        <v>Middle Age (31-54)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_xlfn.IFS(L526&gt;54, "Old (55+)", L526&gt;=31, "Middle Age (31-54)", L526&lt;31, "Adolescent (&lt;31)")</f>
        <v>Old (55+)</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cm="1">
        <f t="array" ref="M527">_xlfn.IFS(L527&gt;54, "Old (55+)", L527&gt;=31, "Middle Age (31-54)", L527&lt;31, "Adolescent (&lt;31)")</f>
        <v>Old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_xlfn.IFS(L528&gt;54, "Old (55+)", L528&gt;=31, "Middle Age (31-54)", L528&lt;31, "Adolescent (&lt;31)")</f>
        <v>Middle Age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_xlfn.IFS(L529&gt;54, "Old (55+)", L529&gt;=31, "Middle Age (31-54)", L529&lt;31, "Adolescent (&lt;31)")</f>
        <v>Middle Age (31-54)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_xlfn.IFS(L530&gt;54, "Old (55+)", L530&gt;=31, "Middle Age (31-54)", L530&lt;31, "Adolescent (&lt;31)")</f>
        <v>Adolescent (&lt;31)</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cm="1">
        <f t="array" ref="M531">_xlfn.IFS(L531&gt;54, "Old (55+)", L531&gt;=31, "Middle Age (31-54)", L531&lt;31, "Adolescent (&lt;31)")</f>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_xlfn.IFS(L532&gt;54, "Old (55+)", L532&gt;=31, "Middle Age (31-54)", L532&lt;31, "Adolescent (&lt;31)")</f>
        <v>Adolescent (&lt;31)</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_xlfn.IFS(L533&gt;54, "Old (55+)", L533&gt;=31, "Middle Age (31-54)", L533&lt;31, "Adolescent (&lt;31)")</f>
        <v>Adolescent (&lt;31)</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_xlfn.IFS(L534&gt;54, "Old (55+)", L534&gt;=31, "Middle Age (31-54)", L534&lt;31, "Adolescent (&lt;31)")</f>
        <v>Middle Age (31-54)</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cm="1">
        <f t="array" ref="M535">_xlfn.IFS(L535&gt;54, "Old (55+)", L535&gt;=31, "Middle Age (31-54)", L535&lt;31, "Adolescent (&lt;31)")</f>
        <v>Old (55+)</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cm="1">
        <f t="array" ref="M536">_xlfn.IFS(L536&gt;54, "Old (55+)", L536&gt;=31, "Middle Age (31-54)", L536&lt;31, "Adolescent (&lt;31)")</f>
        <v>Old (55+)</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cm="1">
        <f t="array" ref="M537">_xlfn.IFS(L537&gt;54, "Old (55+)", L537&gt;=31, "Middle Age (31-54)", L537&lt;31, "Adolescent (&lt;31)")</f>
        <v>Middle Age (31-54)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_xlfn.IFS(L538&gt;54, "Old (55+)", L538&gt;=31, "Middle Age (31-54)", L538&lt;31, "Adolescent (&lt;31)")</f>
        <v>Middle Age (31-54)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_xlfn.IFS(L539&gt;54, "Old (55+)", L539&gt;=31, "Middle Age (31-54)", L539&lt;31, "Adolescent (&lt;31)")</f>
        <v>Middle Age (31-54)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_xlfn.IFS(L540&gt;54, "Old (55+)", L540&gt;=31, "Middle Age (31-54)", L540&lt;31, "Adolescent (&lt;31)")</f>
        <v>Middle Age (31-54)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_xlfn.IFS(L541&gt;54, "Old (55+)", L541&gt;=31, "Middle Age (31-54)", L541&lt;31, "Adolescent (&lt;31)")</f>
        <v>Middle Age (31-54)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_xlfn.IFS(L542&gt;54, "Old (55+)", L542&gt;=31, "Middle Age (31-54)", L542&lt;31, "Adolescent (&lt;31)")</f>
        <v>Middle Age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_xlfn.IFS(L543&gt;54, "Old (55+)", L543&gt;=31, "Middle Age (31-54)", L543&lt;31, "Adolescent (&lt;31)")</f>
        <v>Middle Age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_xlfn.IFS(L544&gt;54, "Old (55+)", L544&gt;=31, "Middle Age (31-54)", L544&lt;31, "Adolescent (&lt;31)")</f>
        <v>Adolescent (&lt;31)</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_xlfn.IFS(L545&gt;54, "Old (55+)", L545&gt;=31, "Middle Age (31-54)", L545&lt;31, "Adolescent (&lt;31)")</f>
        <v>Middle Age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_xlfn.IFS(L546&gt;54, "Old (55+)", L546&gt;=31, "Middle Age (31-54)", L546&lt;31, "Adolescent (&lt;31)")</f>
        <v>Middle Age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_xlfn.IFS(L547&gt;54, "Old (55+)", L547&gt;=31, "Middle Age (31-54)", L547&lt;31, "Adolescent (&lt;31)")</f>
        <v>Adolescent (&lt;31)</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_xlfn.IFS(L548&gt;54, "Old (55+)", L548&gt;=31, "Middle Age (31-54)", L548&lt;31, "Adolescent (&lt;31)")</f>
        <v>Middle Age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_xlfn.IFS(L549&gt;54, "Old (55+)", L549&gt;=31, "Middle Age (31-54)", L549&lt;31, "Adolescent (&lt;31)")</f>
        <v>Old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_xlfn.IFS(L550&gt;54, "Old (55+)", L550&gt;=31, "Middle Age (31-54)", L550&lt;31, "Adolescent (&lt;31)")</f>
        <v>Middle Age (31-54)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_xlfn.IFS(L551&gt;54, "Old (55+)", L551&gt;=31, "Middle Age (31-54)", L551&lt;31, "Adolescent (&lt;31)")</f>
        <v>Middle Age (31-54)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_xlfn.IFS(L552&gt;54, "Old (55+)", L552&gt;=31, "Middle Age (31-54)", L552&lt;31, "Adolescent (&lt;31)")</f>
        <v>Middle Age (31-54)</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cm="1">
        <f t="array" ref="M553">_xlfn.IFS(L553&gt;54, "Old (55+)", L553&gt;=31, "Middle Age (31-54)", L553&lt;31, "Adolescent (&lt;31)")</f>
        <v>Old (55+)</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cm="1">
        <f t="array" ref="M554">_xlfn.IFS(L554&gt;54, "Old (55+)", L554&gt;=31, "Middle Age (31-54)", L554&lt;31, "Adolescent (&lt;31)")</f>
        <v>Middle Age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_xlfn.IFS(L555&gt;54, "Old (55+)", L555&gt;=31, "Middle Age (31-54)", L555&lt;31, "Adolescent (&lt;31)")</f>
        <v>Old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_xlfn.IFS(L556&gt;54, "Old (55+)", L556&gt;=31, "Middle Age (31-54)", L556&lt;31, "Adolescent (&lt;31)")</f>
        <v>Middle Age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_xlfn.IFS(L557&gt;54, "Old (55+)", L557&gt;=31, "Middle Age (31-54)", L557&lt;31, "Adolescent (&lt;31)")</f>
        <v>Middle Age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_xlfn.IFS(L558&gt;54, "Old (55+)", L558&gt;=31, "Middle Age (31-54)", L558&lt;31, "Adolescent (&lt;31)")</f>
        <v>Middle Age (31-54)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_xlfn.IFS(L559&gt;54, "Old (55+)", L559&gt;=31, "Middle Age (31-54)", L559&lt;31, "Adolescent (&lt;31)")</f>
        <v>Middle Age (31-54)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_xlfn.IFS(L560&gt;54, "Old (55+)", L560&gt;=31, "Middle Age (31-54)", L560&lt;31, "Adolescent (&lt;31)")</f>
        <v>Middle Age (31-54)</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cm="1">
        <f t="array" ref="M561">_xlfn.IFS(L561&gt;54, "Old (55+)", L561&gt;=31, "Middle Age (31-54)", L561&lt;31, "Adolescent (&lt;31)")</f>
        <v>Old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_xlfn.IFS(L562&gt;54, "Old (55+)", L562&gt;=31, "Middle Age (31-54)", L562&lt;31, "Adolescent (&lt;31)")</f>
        <v>Middle Age (31-54)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_xlfn.IFS(L563&gt;54, "Old (55+)", L563&gt;=31, "Middle Age (31-54)", L563&lt;31, "Adolescent (&lt;31)")</f>
        <v>Middle Age (31-54)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_xlfn.IFS(L564&gt;54, "Old (55+)", L564&gt;=31, "Middle Age (31-54)", L564&lt;31, "Adolescent (&lt;31)")</f>
        <v>Middle Age (31-54)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_xlfn.IFS(L565&gt;54, "Old (55+)", L565&gt;=31, "Middle Age (31-54)", L565&lt;31, "Adolescent (&lt;31)")</f>
        <v>Adolescent (&lt;31)</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_xlfn.IFS(L566&gt;54, "Old (55+)", L566&gt;=31, "Middle Age (31-54)", L566&lt;31, "Adolescent (&lt;31)")</f>
        <v>Adolescent (&lt;31)</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_xlfn.IFS(L567&gt;54, "Old (55+)", L567&gt;=31, "Middle Age (31-54)", L567&lt;31, "Adolescent (&lt;31)")</f>
        <v>Middle Age (31-54)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_xlfn.IFS(L568&gt;54, "Old (55+)", L568&gt;=31, "Middle Age (31-54)", L568&lt;31, "Adolescent (&lt;31)")</f>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_xlfn.IFS(L569&gt;54, "Old (55+)", L569&gt;=31, "Middle Age (31-54)", L569&lt;31, "Adolescent (&lt;31)")</f>
        <v>Middle Age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_xlfn.IFS(L570&gt;54, "Old (55+)", L570&gt;=31, "Middle Age (31-54)", L570&lt;31, "Adolescent (&lt;31)")</f>
        <v>Middle Age (31-54)</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cm="1">
        <f t="array" ref="M571">_xlfn.IFS(L571&gt;54, "Old (55+)", L571&gt;=31, "Middle Age (31-54)", L571&lt;31, "Adolescent (&lt;31)")</f>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_xlfn.IFS(L572&gt;54, "Old (55+)", L572&gt;=31, "Middle Age (31-54)", L572&lt;31, "Adolescent (&lt;31)")</f>
        <v>Middle Age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_xlfn.IFS(L573&gt;54, "Old (55+)", L573&gt;=31, "Middle Age (31-54)", L573&lt;31, "Adolescent (&lt;31)")</f>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_xlfn.IFS(L574&gt;54, "Old (55+)", L574&gt;=31, "Middle Age (31-54)", L574&lt;31, "Adolescent (&lt;31)")</f>
        <v>Adolescent (&lt;31)</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_xlfn.IFS(L575&gt;54, "Old (55+)", L575&gt;=31, "Middle Age (31-54)", L575&lt;31, "Adolescent (&lt;31)")</f>
        <v>Old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_xlfn.IFS(L576&gt;54, "Old (55+)", L576&gt;=31, "Middle Age (31-54)", L576&lt;31, "Adolescent (&lt;31)")</f>
        <v>Middle Age (31-54)</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cm="1">
        <f t="array" ref="M577">_xlfn.IFS(L577&gt;54, "Old (55+)", L577&gt;=31, "Middle Age (31-54)", L577&lt;31, "Adolescent (&lt;31)")</f>
        <v>Old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_xlfn.IFS(L578&gt;54, "Old (55+)", L578&gt;=31, "Middle Age (31-54)", L578&lt;31, "Adolescent (&lt;31)")</f>
        <v>Middle Age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_xlfn.IFS(L579&gt;54, "Old (55+)", L579&gt;=31, "Middle Age (31-54)", L579&lt;31, "Adolescent (&lt;31)")</f>
        <v>Middle Age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_xlfn.IFS(L580&gt;54, "Old (55+)", L580&gt;=31, "Middle Age (31-54)", L580&lt;31, "Adolescent (&lt;31)")</f>
        <v>Old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_xlfn.IFS(L581&gt;54, "Old (55+)", L581&gt;=31, "Middle Age (31-54)", L581&lt;31, "Adolescent (&lt;31)")</f>
        <v>Middle Age (31-54)</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cm="1">
        <f t="array" ref="M582">_xlfn.IFS(L582&gt;54, "Old (55+)", L582&gt;=31, "Middle Age (31-54)", L582&lt;31, "Adolescent (&lt;31)")</f>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_xlfn.IFS(L583&gt;54, "Old (55+)", L583&gt;=31, "Middle Age (31-54)", L583&lt;31, "Adolescent (&lt;31)")</f>
        <v>Adolescent (&lt;31)</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_xlfn.IFS(L584&gt;54, "Old (55+)", L584&gt;=31, "Middle Age (31-54)", L584&lt;31, "Adolescent (&lt;31)")</f>
        <v>Middle Age (31-54)</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cm="1">
        <f t="array" ref="M585">_xlfn.IFS(L585&gt;54, "Old (55+)", L585&gt;=31, "Middle Age (31-54)", L585&lt;31, "Adolescent (&lt;31)")</f>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_xlfn.IFS(L586&gt;54, "Old (55+)", L586&gt;=31, "Middle Age (31-54)", L586&lt;31, "Adolescent (&lt;31)")</f>
        <v>Middle Age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_xlfn.IFS(L587&gt;54, "Old (55+)", L587&gt;=31, "Middle Age (31-54)", L587&lt;31, "Adolescent (&lt;31)")</f>
        <v>Middle Age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_xlfn.IFS(L588&gt;54, "Old (55+)", L588&gt;=31, "Middle Age (31-54)", L588&lt;31, "Adolescent (&lt;31)")</f>
        <v>Middle Age (31-54)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_xlfn.IFS(L589&gt;54, "Old (55+)", L589&gt;=31, "Middle Age (31-54)", L589&lt;31, "Adolescent (&lt;31)")</f>
        <v>Middle Age (31-54)</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cm="1">
        <f t="array" ref="M590">_xlfn.IFS(L590&gt;54, "Old (55+)", L590&gt;=31, "Middle Age (31-54)", L590&lt;31, "Adolescent (&lt;31)")</f>
        <v>Middle Age (31-54)</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cm="1">
        <f t="array" ref="M591">_xlfn.IFS(L591&gt;54, "Old (55+)", L591&gt;=31, "Middle Age (31-54)", L591&lt;31, "Adolescent (&lt;31)")</f>
        <v>Old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_xlfn.IFS(L592&gt;54, "Old (55+)", L592&gt;=31, "Middle Age (31-54)", L592&lt;31, "Adolescent (&lt;31)")</f>
        <v>Middle Age (31-54)</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cm="1">
        <f t="array" ref="M593">_xlfn.IFS(L593&gt;54, "Old (55+)", L593&gt;=31, "Middle Age (31-54)", L593&lt;31, "Adolescent (&lt;31)")</f>
        <v>Old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_xlfn.IFS(L594&gt;54, "Old (55+)", L594&gt;=31, "Middle Age (31-54)", L594&lt;31, "Adolescent (&lt;31)")</f>
        <v>Middle Age (31-54)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_xlfn.IFS(L595&gt;54, "Old (55+)", L595&gt;=31, "Middle Age (31-54)", L595&lt;31, "Adolescent (&lt;31)")</f>
        <v>Middle Age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_xlfn.IFS(L596&gt;54, "Old (55+)", L596&gt;=31, "Middle Age (31-54)", L596&lt;31, "Adolescent (&lt;31)")</f>
        <v>Old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_xlfn.IFS(L597&gt;54, "Old (55+)", L597&gt;=31, "Middle Age (31-54)", L597&lt;31, "Adolescent (&lt;31)")</f>
        <v>Old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_xlfn.IFS(L598&gt;54, "Old (55+)", L598&gt;=31, "Middle Age (31-54)", L598&lt;31, "Adolescent (&lt;31)")</f>
        <v>Middle Age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_xlfn.IFS(L599&gt;54, "Old (55+)", L599&gt;=31, "Middle Age (31-54)", L599&lt;31, "Adolescent (&lt;31)")</f>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_xlfn.IFS(L600&gt;54, "Old (55+)", L600&gt;=31, "Middle Age (31-54)", L600&lt;31, "Adolescent (&lt;31)")</f>
        <v>Middle Age (31-54)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_xlfn.IFS(L601&gt;54, "Old (55+)", L601&gt;=31, "Middle Age (31-54)", L601&lt;31, "Adolescent (&lt;31)")</f>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_xlfn.IFS(L602&gt;54, "Old (55+)", L602&gt;=31, "Middle Age (31-54)", L602&lt;31, "Adolescent (&lt;31)")</f>
        <v>Middle Age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_xlfn.IFS(L603&gt;54, "Old (55+)", L603&gt;=31, "Middle Age (31-54)", L603&lt;31, "Adolescent (&lt;31)")</f>
        <v>Middle Age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_xlfn.IFS(L604&gt;54, "Old (55+)", L604&gt;=31, "Middle Age (31-54)", L604&lt;31, "Adolescent (&lt;31)")</f>
        <v>Middle Age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_xlfn.IFS(L605&gt;54, "Old (55+)", L605&gt;=31, "Middle Age (31-54)", L605&lt;31, "Adolescent (&lt;31)")</f>
        <v>Middle Age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_xlfn.IFS(L606&gt;54, "Old (55+)", L606&gt;=31, "Middle Age (31-54)", L606&lt;31, "Adolescent (&lt;31)")</f>
        <v>Adolescent (&lt;31)</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_xlfn.IFS(L607&gt;54, "Old (55+)", L607&gt;=31, "Middle Age (31-54)", L607&lt;31, "Adolescent (&lt;31)")</f>
        <v>Middle Age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_xlfn.IFS(L608&gt;54, "Old (55+)", L608&gt;=31, "Middle Age (31-54)", L608&lt;31, "Adolescent (&lt;31)")</f>
        <v>Middle Age (31-54)</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cm="1">
        <f t="array" ref="M609">_xlfn.IFS(L609&gt;54, "Old (55+)", L609&gt;=31, "Middle Age (31-54)", L609&lt;31, "Adolescent (&lt;31)")</f>
        <v>Middle Age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_xlfn.IFS(L610&gt;54, "Old (55+)", L610&gt;=31, "Middle Age (31-54)", L610&lt;31, "Adolescent (&lt;31)")</f>
        <v>Middle Age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_xlfn.IFS(L611&gt;54, "Old (55+)", L611&gt;=31, "Middle Age (31-54)", L611&lt;31, "Adolescent (&lt;31)")</f>
        <v>Middle Age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_xlfn.IFS(L612&gt;54, "Old (55+)", L612&gt;=31, "Middle Age (31-54)", L612&lt;31, "Adolescent (&lt;31)")</f>
        <v>Middle Age (31-54)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_xlfn.IFS(L613&gt;54, "Old (55+)", L613&gt;=31, "Middle Age (31-54)", L613&lt;31, "Adolescent (&lt;31)")</f>
        <v>Middle Age (31-54)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_xlfn.IFS(L614&gt;54, "Old (55+)", L614&gt;=31, "Middle Age (31-54)", L614&lt;31, "Adolescent (&lt;31)")</f>
        <v>Adolescent (&lt;31)</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_xlfn.IFS(L615&gt;54, "Old (55+)", L615&gt;=31, "Middle Age (31-54)", L615&lt;31, "Adolescent (&lt;31)")</f>
        <v>Middle Age (31-54)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_xlfn.IFS(L616&gt;54, "Old (55+)", L616&gt;=31, "Middle Age (31-54)", L616&lt;31, "Adolescent (&lt;31)")</f>
        <v>Middle Age (31-54)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_xlfn.IFS(L617&gt;54, "Old (55+)", L617&gt;=31, "Middle Age (31-54)", L617&lt;31, "Adolescent (&lt;31)")</f>
        <v>Middle Age (31-54)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_xlfn.IFS(L618&gt;54, "Old (55+)", L618&gt;=31, "Middle Age (31-54)", L618&lt;31, "Adolescent (&lt;31)")</f>
        <v>Middle Age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_xlfn.IFS(L619&gt;54, "Old (55+)", L619&gt;=31, "Middle Age (31-54)", L619&lt;31, "Adolescent (&lt;31)")</f>
        <v>Middle Age (31-54)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_xlfn.IFS(L620&gt;54, "Old (55+)", L620&gt;=31, "Middle Age (31-54)", L620&lt;31, "Adolescent (&lt;31)")</f>
        <v>Middle Age (31-54)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_xlfn.IFS(L621&gt;54, "Old (55+)", L621&gt;=31, "Middle Age (31-54)", L621&lt;31, "Adolescent (&lt;31)")</f>
        <v>Adolescent (&lt;31)</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_xlfn.IFS(L622&gt;54, "Old (55+)", L622&gt;=31, "Middle Age (31-54)", L622&lt;31, "Adolescent (&lt;31)")</f>
        <v>Middle Age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_xlfn.IFS(L623&gt;54, "Old (55+)", L623&gt;=31, "Middle Age (31-54)", L623&lt;31, "Adolescent (&lt;31)")</f>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_xlfn.IFS(L624&gt;54, "Old (55+)", L624&gt;=31, "Middle Age (31-54)", L624&lt;31, "Adolescent (&lt;31)")</f>
        <v>Middle Age (31-54)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_xlfn.IFS(L625&gt;54, "Old (55+)", L625&gt;=31, "Middle Age (31-54)", L625&lt;31, "Adolescent (&lt;31)")</f>
        <v>Old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_xlfn.IFS(L626&gt;54, "Old (55+)", L626&gt;=31, "Middle Age (31-54)", L626&lt;31, "Adolescent (&lt;31)")</f>
        <v>Adolescent (&lt;31)</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_xlfn.IFS(L627&gt;54, "Old (55+)", L627&gt;=31, "Middle Age (31-54)", L627&lt;31, "Adolescent (&lt;31)")</f>
        <v>Old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_xlfn.IFS(L628&gt;54, "Old (55+)", L628&gt;=31, "Middle Age (31-54)", L628&lt;31, "Adolescent (&lt;31)")</f>
        <v>Adolescent (&lt;31)</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_xlfn.IFS(L629&gt;54, "Old (55+)", L629&gt;=31, "Middle Age (31-54)", L629&lt;31, "Adolescent (&lt;31)")</f>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_xlfn.IFS(L630&gt;54, "Old (55+)", L630&gt;=31, "Middle Age (31-54)", L630&lt;31, "Adolescent (&lt;31)")</f>
        <v>Middle Age (31-54)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_xlfn.IFS(L631&gt;54, "Old (55+)", L631&gt;=31, "Middle Age (31-54)", L631&lt;31, "Adolescent (&lt;31)")</f>
        <v>Middle Age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_xlfn.IFS(L632&gt;54, "Old (55+)", L632&gt;=31, "Middle Age (31-54)", L632&lt;31, "Adolescent (&lt;31)")</f>
        <v>Adolescent (&lt;31)</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_xlfn.IFS(L633&gt;54, "Old (55+)", L633&gt;=31, "Middle Age (31-54)", L633&lt;31, "Adolescent (&lt;31)")</f>
        <v>Middle Age (31-54)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_xlfn.IFS(L634&gt;54, "Old (55+)", L634&gt;=31, "Middle Age (31-54)", L634&lt;31, "Adolescent (&lt;31)")</f>
        <v>Middle Age (31-54)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_xlfn.IFS(L635&gt;54, "Old (55+)", L635&gt;=31, "Middle Age (31-54)", L635&lt;31, "Adolescent (&lt;31)")</f>
        <v>Middle Age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_xlfn.IFS(L636&gt;54, "Old (55+)", L636&gt;=31, "Middle Age (31-54)", L636&lt;31, "Adolescent (&lt;31)")</f>
        <v>Old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_xlfn.IFS(L637&gt;54, "Old (55+)", L637&gt;=31, "Middle Age (31-54)", L637&lt;31, "Adolescent (&lt;31)")</f>
        <v>Middle Age (31-54)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_xlfn.IFS(L638&gt;54, "Old (55+)", L638&gt;=31, "Middle Age (31-54)", L638&lt;31, "Adolescent (&lt;31)")</f>
        <v>Middle Age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_xlfn.IFS(L639&gt;54, "Old (55+)", L639&gt;=31, "Middle Age (31-54)", L639&lt;31, "Adolescent (&lt;31)")</f>
        <v>Adolescent (&lt;31)</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_xlfn.IFS(L640&gt;54, "Old (55+)", L640&gt;=31, "Middle Age (31-54)", L640&lt;31, "Adolescent (&lt;31)")</f>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_xlfn.IFS(L641&gt;54, "Old (55+)", L641&gt;=31, "Middle Age (31-54)", L641&lt;31, "Adolescent (&lt;31)")</f>
        <v>Old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_xlfn.IFS(L642&gt;54, "Old (55+)", L642&gt;=31, "Middle Age (31-54)", L642&lt;31, "Adolescent (&lt;31)")</f>
        <v>Old (55+)</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cm="1">
        <f t="array" ref="M643">_xlfn.IFS(L643&gt;54, "Old (55+)", L643&gt;=31, "Middle Age (31-54)", L643&lt;31, "Adolescent (&lt;31)")</f>
        <v>Old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_xlfn.IFS(L644&gt;54, "Old (55+)", L644&gt;=31, "Middle Age (31-54)", L644&lt;31, "Adolescent (&lt;31)")</f>
        <v>Middle Age (31-54)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_xlfn.IFS(L645&gt;54, "Old (55+)", L645&gt;=31, "Middle Age (31-54)", L645&lt;31, "Adolescent (&lt;31)")</f>
        <v>Middle Age (31-54)</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cm="1">
        <f t="array" ref="M646">_xlfn.IFS(L646&gt;54, "Old (55+)", L646&gt;=31, "Middle Age (31-54)", L646&lt;31, "Adolescent (&lt;31)")</f>
        <v>Middle Age (31-54)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_xlfn.IFS(L647&gt;54, "Old (55+)", L647&gt;=31, "Middle Age (31-54)", L647&lt;31, "Adolescent (&lt;31)")</f>
        <v>Middle Age (31-54)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_xlfn.IFS(L648&gt;54, "Old (55+)", L648&gt;=31, "Middle Age (31-54)", L648&lt;31, "Adolescent (&lt;31)")</f>
        <v>Middle Age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_xlfn.IFS(L649&gt;54, "Old (55+)", L649&gt;=31, "Middle Age (31-54)", L649&lt;31, "Adolescent (&lt;31)")</f>
        <v>Middle Age (31-54)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_xlfn.IFS(L650&gt;54, "Old (55+)", L650&gt;=31, "Middle Age (31-54)", L650&lt;31, "Adolescent (&lt;31)")</f>
        <v>Old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_xlfn.IFS(L651&gt;54, "Old (55+)", L651&gt;=31, "Middle Age (31-54)", L651&lt;31, "Adolescent (&lt;31)")</f>
        <v>Middle Age (31-54)</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cm="1">
        <f t="array" ref="M652">_xlfn.IFS(L652&gt;54, "Old (55+)", L652&gt;=31, "Middle Age (31-54)", L652&lt;31, "Adolescent (&lt;31)")</f>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_xlfn.IFS(L653&gt;54, "Old (55+)", L653&gt;=31, "Middle Age (31-54)", L653&lt;31, "Adolescent (&lt;31)")</f>
        <v>Middle Age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_xlfn.IFS(L654&gt;54, "Old (55+)", L654&gt;=31, "Middle Age (31-54)", L654&lt;31, "Adolescent (&lt;31)")</f>
        <v>Middle Age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_xlfn.IFS(L655&gt;54, "Old (55+)", L655&gt;=31, "Middle Age (31-54)", L655&lt;31, "Adolescent (&lt;31)")</f>
        <v>Middle Age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_xlfn.IFS(L656&gt;54, "Old (55+)", L656&gt;=31, "Middle Age (31-54)", L656&lt;31, "Adolescent (&lt;31)")</f>
        <v>Middle Age (31-54)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_xlfn.IFS(L657&gt;54, "Old (55+)", L657&gt;=31, "Middle Age (31-54)", L657&lt;31, "Adolescent (&lt;31)")</f>
        <v>Middle Age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_xlfn.IFS(L658&gt;54, "Old (55+)", L658&gt;=31, "Middle Age (31-54)", L658&lt;31, "Adolescent (&lt;31)")</f>
        <v>Middle Age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_xlfn.IFS(L659&gt;54, "Old (55+)", L659&gt;=31, "Middle Age (31-54)", L659&lt;31, "Adolescent (&lt;31)")</f>
        <v>Middle Age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_xlfn.IFS(L660&gt;54, "Old (55+)", L660&gt;=31, "Middle Age (31-54)", L660&lt;31, "Adolescent (&lt;31)")</f>
        <v>Middle Age (31-54)</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cm="1">
        <f t="array" ref="M661">_xlfn.IFS(L661&gt;54, "Old (55+)", L661&gt;=31, "Middle Age (31-54)", L661&lt;31, "Adolescent (&lt;31)")</f>
        <v>Old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_xlfn.IFS(L662&gt;54, "Old (55+)", L662&gt;=31, "Middle Age (31-54)", L662&lt;31, "Adolescent (&lt;31)")</f>
        <v>Middle Age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_xlfn.IFS(L663&gt;54, "Old (55+)", L663&gt;=31, "Middle Age (31-54)", L663&lt;31, "Adolescent (&lt;31)")</f>
        <v>Adolescent (&lt;31)</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_xlfn.IFS(L664&gt;54, "Old (55+)", L664&gt;=31, "Middle Age (31-54)", L664&lt;31, "Adolescent (&lt;31)")</f>
        <v>Middle Age (31-54)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_xlfn.IFS(L665&gt;54, "Old (55+)", L665&gt;=31, "Middle Age (31-54)", L665&lt;31, "Adolescent (&lt;31)")</f>
        <v>Middle Age (31-54)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_xlfn.IFS(L666&gt;54, "Old (55+)", L666&gt;=31, "Middle Age (31-54)", L666&lt;31, "Adolescent (&lt;31)")</f>
        <v>Middle Age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_xlfn.IFS(L667&gt;54, "Old (55+)", L667&gt;=31, "Middle Age (31-54)", L667&lt;31, "Adolescent (&lt;31)")</f>
        <v>Middle Age (31-54)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_xlfn.IFS(L668&gt;54, "Old (55+)", L668&gt;=31, "Middle Age (31-54)", L668&lt;31, "Adolescent (&lt;31)")</f>
        <v>Middle Age (31-54)</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cm="1">
        <f t="array" ref="M669">_xlfn.IFS(L669&gt;54, "Old (55+)", L669&gt;=31, "Middle Age (31-54)", L669&lt;31, "Adolescent (&lt;31)")</f>
        <v>Old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_xlfn.IFS(L670&gt;54, "Old (55+)", L670&gt;=31, "Middle Age (31-54)", L670&lt;31, "Adolescent (&lt;31)")</f>
        <v>Middle Age (31-54)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_xlfn.IFS(L671&gt;54, "Old (55+)", L671&gt;=31, "Middle Age (31-54)", L671&lt;31, "Adolescent (&lt;31)")</f>
        <v>Middle Age (31-54)</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cm="1">
        <f t="array" ref="M672">_xlfn.IFS(L672&gt;54, "Old (55+)", L672&gt;=31, "Middle Age (31-54)", L672&lt;31, "Adolescent (&lt;31)")</f>
        <v>Old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_xlfn.IFS(L673&gt;54, "Old (55+)", L673&gt;=31, "Middle Age (31-54)", L673&lt;31, "Adolescent (&lt;31)")</f>
        <v>Middle Age (31-54)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_xlfn.IFS(L674&gt;54, "Old (55+)", L674&gt;=31, "Middle Age (31-54)", L674&lt;31, "Adolescent (&lt;31)")</f>
        <v>Adolescent (&lt;31)</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_xlfn.IFS(L675&gt;54, "Old (55+)", L675&gt;=31, "Middle Age (31-54)", L675&lt;31, "Adolescent (&lt;31)")</f>
        <v>Middle Age (31-54)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_xlfn.IFS(L676&gt;54, "Old (55+)", L676&gt;=31, "Middle Age (31-54)", L676&lt;31, "Adolescent (&lt;31)")</f>
        <v>Middle Age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_xlfn.IFS(L677&gt;54, "Old (55+)", L677&gt;=31, "Middle Age (31-54)", L677&lt;31, "Adolescent (&lt;31)")</f>
        <v>Middle Age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_xlfn.IFS(L678&gt;54, "Old (55+)", L678&gt;=31, "Middle Age (31-54)", L678&lt;31, "Adolescent (&lt;31)")</f>
        <v>Middle Age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_xlfn.IFS(L679&gt;54, "Old (55+)", L679&gt;=31, "Middle Age (31-54)", L679&lt;31, "Adolescent (&lt;31)")</f>
        <v>Middle Age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_xlfn.IFS(L680&gt;54, "Old (55+)", L680&gt;=31, "Middle Age (31-54)", L680&lt;31, "Adolescent (&lt;31)")</f>
        <v>Old (55+)</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cm="1">
        <f t="array" ref="M681">_xlfn.IFS(L681&gt;54, "Old (55+)", L681&gt;=31, "Middle Age (31-54)", L681&lt;31, "Adolescent (&lt;31)")</f>
        <v>Old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_xlfn.IFS(L682&gt;54, "Old (55+)", L682&gt;=31, "Middle Age (31-54)", L682&lt;31, "Adolescent (&lt;31)")</f>
        <v>Middle Age (31-54)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_xlfn.IFS(L683&gt;54, "Old (55+)", L683&gt;=31, "Middle Age (31-54)", L683&lt;31, "Adolescent (&lt;31)")</f>
        <v>Middle Age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_xlfn.IFS(L684&gt;54, "Old (55+)", L684&gt;=31, "Middle Age (31-54)", L684&lt;31, "Adolescent (&lt;31)")</f>
        <v>Middle Age (31-54)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_xlfn.IFS(L685&gt;54, "Old (55+)", L685&gt;=31, "Middle Age (31-54)", L685&lt;31, "Adolescent (&lt;31)")</f>
        <v>Middle Age (31-54)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_xlfn.IFS(L686&gt;54, "Old (55+)", L686&gt;=31, "Middle Age (31-54)", L686&lt;31, "Adolescent (&lt;31)")</f>
        <v>Middle Age (31-54)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_xlfn.IFS(L687&gt;54, "Old (55+)", L687&gt;=31, "Middle Age (31-54)", L687&lt;31, "Adolescent (&lt;31)")</f>
        <v>Middle Age (31-54)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_xlfn.IFS(L688&gt;54, "Old (55+)", L688&gt;=31, "Middle Age (31-54)", L688&lt;31, "Adolescent (&lt;31)")</f>
        <v>Middle Age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_xlfn.IFS(L689&gt;54, "Old (55+)", L689&gt;=31, "Middle Age (31-54)", L689&lt;31, "Adolescent (&lt;31)")</f>
        <v>Adolescent (&lt;31)</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_xlfn.IFS(L690&gt;54, "Old (55+)", L690&gt;=31, "Middle Age (31-54)", L690&lt;31, "Adolescent (&lt;31)")</f>
        <v>Adolescent (&lt;31)</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_xlfn.IFS(L691&gt;54, "Old (55+)", L691&gt;=31, "Middle Age (31-54)", L691&lt;31, "Adolescent (&lt;31)")</f>
        <v>Adolescent (&lt;31)</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_xlfn.IFS(L692&gt;54, "Old (55+)", L692&gt;=31, "Middle Age (31-54)", L692&lt;31, "Adolescent (&lt;31)")</f>
        <v>Middle Age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_xlfn.IFS(L693&gt;54, "Old (55+)", L693&gt;=31, "Middle Age (31-54)", L693&lt;31, "Adolescent (&lt;31)")</f>
        <v>Middle Age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_xlfn.IFS(L694&gt;54, "Old (55+)", L694&gt;=31, "Middle Age (31-54)", L694&lt;31, "Adolescent (&lt;31)")</f>
        <v>Middle Age (31-54)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_xlfn.IFS(L695&gt;54, "Old (55+)", L695&gt;=31, "Middle Age (31-54)", L695&lt;31, "Adolescent (&lt;31)")</f>
        <v>Middle Age (31-54)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_xlfn.IFS(L696&gt;54, "Old (55+)", L696&gt;=31, "Middle Age (31-54)", L696&lt;31, "Adolescent (&lt;31)")</f>
        <v>Middle Age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_xlfn.IFS(L697&gt;54, "Old (55+)", L697&gt;=31, "Middle Age (31-54)", L697&lt;31, "Adolescent (&lt;31)")</f>
        <v>Middle Age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_xlfn.IFS(L698&gt;54, "Old (55+)", L698&gt;=31, "Middle Age (31-54)", L698&lt;31, "Adolescent (&lt;31)")</f>
        <v>Adolescent (&lt;31)</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_xlfn.IFS(L699&gt;54, "Old (55+)", L699&gt;=31, "Middle Age (31-54)", L699&lt;31, "Adolescent (&lt;31)")</f>
        <v>Adolescent (&lt;31)</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_xlfn.IFS(L700&gt;54, "Old (55+)", L700&gt;=31, "Middle Age (31-54)", L700&lt;31, "Adolescent (&lt;31)")</f>
        <v>Middle Age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_xlfn.IFS(L701&gt;54, "Old (55+)", L701&gt;=31, "Middle Age (31-54)", L701&lt;31, "Adolescent (&lt;31)")</f>
        <v>Middle Age (31-54)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_xlfn.IFS(L702&gt;54, "Old (55+)", L702&gt;=31, "Middle Age (31-54)", L702&lt;31, "Adolescent (&lt;31)")</f>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_xlfn.IFS(L703&gt;54, "Old (55+)", L703&gt;=31, "Middle Age (31-54)", L703&lt;31, "Adolescent (&lt;31)")</f>
        <v>Adolescent (&lt;31)</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_xlfn.IFS(L704&gt;54, "Old (55+)", L704&gt;=31, "Middle Age (31-54)", L704&lt;31, "Adolescent (&lt;31)")</f>
        <v>Middle Age (31-54)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_xlfn.IFS(L705&gt;54, "Old (55+)", L705&gt;=31, "Middle Age (31-54)", L705&lt;31, "Adolescent (&lt;31)")</f>
        <v>Middle Age (31-54)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_xlfn.IFS(L706&gt;54, "Old (55+)", L706&gt;=31, "Middle Age (31-54)", L706&lt;31, "Adolescent (&lt;31)")</f>
        <v>Middle Age (31-54)</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cm="1">
        <f t="array" ref="M707">_xlfn.IFS(L707&gt;54, "Old (55+)", L707&gt;=31, "Middle Age (31-54)", L707&lt;31, "Adolescent (&lt;31)")</f>
        <v>Old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_xlfn.IFS(L708&gt;54, "Old (55+)", L708&gt;=31, "Middle Age (31-54)", L708&lt;31, "Adolescent (&lt;31)")</f>
        <v>Middle Age (31-54)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_xlfn.IFS(L709&gt;54, "Old (55+)", L709&gt;=31, "Middle Age (31-54)", L709&lt;31, "Adolescent (&lt;31)")</f>
        <v>Middle Age (31-54)</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cm="1">
        <f t="array" ref="M710">_xlfn.IFS(L710&gt;54, "Old (55+)", L710&gt;=31, "Middle Age (31-54)", L710&lt;31, "Adolescent (&lt;31)")</f>
        <v>Old (55+)</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cm="1">
        <f t="array" ref="M711">_xlfn.IFS(L711&gt;54, "Old (55+)", L711&gt;=31, "Middle Age (31-54)", L711&lt;31, "Adolescent (&lt;31)")</f>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_xlfn.IFS(L712&gt;54, "Old (55+)", L712&gt;=31, "Middle Age (31-54)", L712&lt;31, "Adolescent (&lt;31)")</f>
        <v>Middle Age (31-54)</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cm="1">
        <f t="array" ref="M713">_xlfn.IFS(L713&gt;54, "Old (55+)", L713&gt;=31, "Middle Age (31-54)", L713&lt;31, "Adolescent (&lt;31)")</f>
        <v>Old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_xlfn.IFS(L714&gt;54, "Old (55+)", L714&gt;=31, "Middle Age (31-54)", L714&lt;31, "Adolescent (&lt;31)")</f>
        <v>Old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_xlfn.IFS(L715&gt;54, "Old (55+)", L715&gt;=31, "Middle Age (31-54)", L715&lt;31, "Adolescent (&lt;31)")</f>
        <v>Middle Age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_xlfn.IFS(L716&gt;54, "Old (55+)", L716&gt;=31, "Middle Age (31-54)", L716&lt;31, "Adolescent (&lt;31)")</f>
        <v>Adolescent (&lt;31)</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_xlfn.IFS(L717&gt;54, "Old (55+)", L717&gt;=31, "Middle Age (31-54)", L717&lt;31, "Adolescent (&lt;31)")</f>
        <v>Middle Age (31-54)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_xlfn.IFS(L718&gt;54, "Old (55+)", L718&gt;=31, "Middle Age (31-54)", L718&lt;31, "Adolescent (&lt;31)")</f>
        <v>Middle Age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_xlfn.IFS(L719&gt;54, "Old (55+)", L719&gt;=31, "Middle Age (31-54)", L719&lt;31, "Adolescent (&lt;31)")</f>
        <v>Middle Age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_xlfn.IFS(L720&gt;54, "Old (55+)", L720&gt;=31, "Middle Age (31-54)", L720&lt;31, "Adolescent (&lt;31)")</f>
        <v>Middle Age (31-54)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_xlfn.IFS(L721&gt;54, "Old (55+)", L721&gt;=31, "Middle Age (31-54)", L721&lt;31, "Adolescent (&lt;31)")</f>
        <v>Middle Age (31-54)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_xlfn.IFS(L722&gt;54, "Old (55+)", L722&gt;=31, "Middle Age (31-54)", L722&lt;31, "Adolescent (&lt;31)")</f>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_xlfn.IFS(L723&gt;54, "Old (55+)", L723&gt;=31, "Middle Age (31-54)", L723&lt;31, "Adolescent (&lt;31)")</f>
        <v>Middle Age (31-54)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_xlfn.IFS(L724&gt;54, "Old (55+)", L724&gt;=31, "Middle Age (31-54)", L724&lt;31, "Adolescent (&lt;31)")</f>
        <v>Middle Age (31-54)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_xlfn.IFS(L725&gt;54, "Old (55+)", L725&gt;=31, "Middle Age (31-54)", L725&lt;31, "Adolescent (&lt;31)")</f>
        <v>Middle Age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_xlfn.IFS(L726&gt;54, "Old (55+)", L726&gt;=31, "Middle Age (31-54)", L726&lt;31, "Adolescent (&lt;31)")</f>
        <v>Middle Age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_xlfn.IFS(L727&gt;54, "Old (55+)", L727&gt;=31, "Middle Age (31-54)", L727&lt;31, "Adolescent (&lt;31)")</f>
        <v>Middle Age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_xlfn.IFS(L728&gt;54, "Old (55+)", L728&gt;=31, "Middle Age (31-54)", L728&lt;31, "Adolescent (&lt;31)")</f>
        <v>Middle Age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_xlfn.IFS(L729&gt;54, "Old (55+)", L729&gt;=31, "Middle Age (31-54)", L729&lt;31, "Adolescent (&lt;31)")</f>
        <v>Middle Age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_xlfn.IFS(L730&gt;54, "Old (55+)", L730&gt;=31, "Middle Age (31-54)", L730&lt;31, "Adolescent (&lt;31)")</f>
        <v>Adolescent (&lt;31)</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_xlfn.IFS(L731&gt;54, "Old (55+)", L731&gt;=31, "Middle Age (31-54)", L731&lt;31, "Adolescent (&lt;31)")</f>
        <v>Middle Age (31-54)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_xlfn.IFS(L732&gt;54, "Old (55+)", L732&gt;=31, "Middle Age (31-54)", L732&lt;31, "Adolescent (&lt;31)")</f>
        <v>Middle Age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_xlfn.IFS(L733&gt;54, "Old (55+)", L733&gt;=31, "Middle Age (31-54)", L733&lt;31, "Adolescent (&lt;31)")</f>
        <v>Middle Age (31-54)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_xlfn.IFS(L734&gt;54, "Old (55+)", L734&gt;=31, "Middle Age (31-54)", L734&lt;31, "Adolescent (&lt;31)")</f>
        <v>Middle Age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_xlfn.IFS(L735&gt;54, "Old (55+)", L735&gt;=31, "Middle Age (31-54)", L735&lt;31, "Adolescent (&lt;31)")</f>
        <v>Middle Age (31-54)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_xlfn.IFS(L736&gt;54, "Old (55+)", L736&gt;=31, "Middle Age (31-54)", L736&lt;31, "Adolescent (&lt;31)")</f>
        <v>Middle Age (31-54)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_xlfn.IFS(L737&gt;54, "Old (55+)", L737&gt;=31, "Middle Age (31-54)", L737&lt;31, "Adolescent (&lt;31)")</f>
        <v>Adolescent (&lt;31)</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_xlfn.IFS(L738&gt;54, "Old (55+)", L738&gt;=31, "Middle Age (31-54)", L738&lt;31, "Adolescent (&lt;31)")</f>
        <v>Middle Age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_xlfn.IFS(L739&gt;54, "Old (55+)", L739&gt;=31, "Middle Age (31-54)", L739&lt;31, "Adolescent (&lt;31)")</f>
        <v>Middle Age (31-54)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_xlfn.IFS(L740&gt;54, "Old (55+)", L740&gt;=31, "Middle Age (31-54)", L740&lt;31, "Adolescent (&lt;31)")</f>
        <v>Middle Age (31-54)</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cm="1">
        <f t="array" ref="M741">_xlfn.IFS(L741&gt;54, "Old (55+)", L741&gt;=31, "Middle Age (31-54)", L741&lt;31, "Adolescent (&lt;31)")</f>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_xlfn.IFS(L742&gt;54, "Old (55+)", L742&gt;=31, "Middle Age (31-54)", L742&lt;31, "Adolescent (&lt;31)")</f>
        <v>Adolescent (&lt;31)</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_xlfn.IFS(L743&gt;54, "Old (55+)", L743&gt;=31, "Middle Age (31-54)", L743&lt;31, "Adolescent (&lt;31)")</f>
        <v>Middle Age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_xlfn.IFS(L744&gt;54, "Old (55+)", L744&gt;=31, "Middle Age (31-54)", L744&lt;31, "Adolescent (&lt;31)")</f>
        <v>Adolescent (&lt;31)</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_xlfn.IFS(L745&gt;54, "Old (55+)", L745&gt;=31, "Middle Age (31-54)", L745&lt;31, "Adolescent (&lt;31)")</f>
        <v>Middle Age (31-54)</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cm="1">
        <f t="array" ref="M746">_xlfn.IFS(L746&gt;54, "Old (55+)", L746&gt;=31, "Middle Age (31-54)", L746&lt;31, "Adolescent (&lt;31)")</f>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_xlfn.IFS(L747&gt;54, "Old (55+)", L747&gt;=31, "Middle Age (31-54)", L747&lt;31, "Adolescent (&lt;31)")</f>
        <v>Middle Age (31-54)</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cm="1">
        <f t="array" ref="M748">_xlfn.IFS(L748&gt;54, "Old (55+)", L748&gt;=31, "Middle Age (31-54)", L748&lt;31, "Adolescent (&lt;31)")</f>
        <v>Old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_xlfn.IFS(L749&gt;54, "Old (55+)", L749&gt;=31, "Middle Age (31-54)", L749&lt;31, "Adolescent (&lt;31)")</f>
        <v>Middle Age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_xlfn.IFS(L750&gt;54, "Old (55+)", L750&gt;=31, "Middle Age (31-54)", L750&lt;31, "Adolescent (&lt;31)")</f>
        <v>Old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_xlfn.IFS(L751&gt;54, "Old (55+)", L751&gt;=31, "Middle Age (31-54)", L751&lt;31, "Adolescent (&lt;31)")</f>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_xlfn.IFS(L752&gt;54, "Old (55+)", L752&gt;=31, "Middle Age (31-54)", L752&lt;31, "Adolescent (&lt;31)")</f>
        <v>Middle Age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_xlfn.IFS(L753&gt;54, "Old (55+)", L753&gt;=31, "Middle Age (31-54)", L753&lt;31, "Adolescent (&lt;31)")</f>
        <v>Middle Age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_xlfn.IFS(L754&gt;54, "Old (55+)", L754&gt;=31, "Middle Age (31-54)", L754&lt;31, "Adolescent (&lt;31)")</f>
        <v>Middle Age (31-54)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_xlfn.IFS(L755&gt;54, "Old (55+)", L755&gt;=31, "Middle Age (31-54)", L755&lt;31, "Adolescent (&lt;31)")</f>
        <v>Adolescent (&lt;31)</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_xlfn.IFS(L756&gt;54, "Old (55+)", L756&gt;=31, "Middle Age (31-54)", L756&lt;31, "Adolescent (&lt;31)")</f>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_xlfn.IFS(L757&gt;54, "Old (55+)", L757&gt;=31, "Middle Age (31-54)", L757&lt;31, "Adolescent (&lt;31)")</f>
        <v>Middle Age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_xlfn.IFS(L758&gt;54, "Old (55+)", L758&gt;=31, "Middle Age (31-54)", L758&lt;31, "Adolescent (&lt;31)")</f>
        <v>Middle Age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_xlfn.IFS(L759&gt;54, "Old (55+)", L759&gt;=31, "Middle Age (31-54)", L759&lt;31, "Adolescent (&lt;31)")</f>
        <v>Middle Age (31-54)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_xlfn.IFS(L760&gt;54, "Old (55+)", L760&gt;=31, "Middle Age (31-54)", L760&lt;31, "Adolescent (&lt;31)")</f>
        <v>Middle Age (31-54)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_xlfn.IFS(L761&gt;54, "Old (55+)", L761&gt;=31, "Middle Age (31-54)", L761&lt;31, "Adolescent (&lt;31)")</f>
        <v>Middle Age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_xlfn.IFS(L762&gt;54, "Old (55+)", L762&gt;=31, "Middle Age (31-54)", L762&lt;31, "Adolescent (&lt;31)")</f>
        <v>Middle Age (31-54)</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cm="1">
        <f t="array" ref="M763">_xlfn.IFS(L763&gt;54, "Old (55+)", L763&gt;=31, "Middle Age (31-54)", L763&lt;31, "Adolescent (&lt;31)")</f>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_xlfn.IFS(L764&gt;54, "Old (55+)", L764&gt;=31, "Middle Age (31-54)", L764&lt;31, "Adolescent (&lt;31)")</f>
        <v>Middle Age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_xlfn.IFS(L765&gt;54, "Old (55+)", L765&gt;=31, "Middle Age (31-54)", L765&lt;31, "Adolescent (&lt;31)")</f>
        <v>Middle Age (31-54)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_xlfn.IFS(L766&gt;54, "Old (55+)", L766&gt;=31, "Middle Age (31-54)", L766&lt;31, "Adolescent (&lt;31)")</f>
        <v>Adolescent (&lt;31)</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_xlfn.IFS(L767&gt;54, "Old (55+)", L767&gt;=31, "Middle Age (31-54)", L767&lt;31, "Adolescent (&lt;31)")</f>
        <v>Middle Age (31-54)</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cm="1">
        <f t="array" ref="M768">_xlfn.IFS(L768&gt;54, "Old (55+)", L768&gt;=31, "Middle Age (31-54)", L768&lt;31, "Adolescent (&lt;31)")</f>
        <v>Middle Age (31-54)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_xlfn.IFS(L769&gt;54, "Old (55+)", L769&gt;=31, "Middle Age (31-54)", L769&lt;31, "Adolescent (&lt;31)")</f>
        <v>Old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_xlfn.IFS(L770&gt;54, "Old (55+)", L770&gt;=31, "Middle Age (31-54)", L770&lt;31, "Adolescent (&lt;31)")</f>
        <v>Middle Age (31-54)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_xlfn.IFS(L771&gt;54, "Old (55+)", L771&gt;=31, "Middle Age (31-54)", L771&lt;31, "Adolescent (&lt;31)")</f>
        <v>Middle Age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_xlfn.IFS(L772&gt;54, "Old (55+)", L772&gt;=31, "Middle Age (31-54)", L772&lt;31, "Adolescent (&lt;31)")</f>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_xlfn.IFS(L773&gt;54, "Old (55+)", L773&gt;=31, "Middle Age (31-54)", L773&lt;31, "Adolescent (&lt;31)")</f>
        <v>Middle Age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_xlfn.IFS(L774&gt;54, "Old (55+)", L774&gt;=31, "Middle Age (31-54)", L774&lt;31, "Adolescent (&lt;31)")</f>
        <v>Middle Age (31-54)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_xlfn.IFS(L775&gt;54, "Old (55+)", L775&gt;=31, "Middle Age (31-54)", L775&lt;31, "Adolescent (&lt;31)")</f>
        <v>Middle Age (31-54)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_xlfn.IFS(L776&gt;54, "Old (55+)", L776&gt;=31, "Middle Age (31-54)", L776&lt;31, "Adolescent (&lt;31)")</f>
        <v>Middle Age (31-54)</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cm="1">
        <f t="array" ref="M777">_xlfn.IFS(L777&gt;54, "Old (55+)", L777&gt;=31, "Middle Age (31-54)", L777&lt;31, "Adolescent (&lt;31)")</f>
        <v>Middle Age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_xlfn.IFS(L778&gt;54, "Old (55+)", L778&gt;=31, "Middle Age (31-54)", L778&lt;31, "Adolescent (&lt;31)")</f>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_xlfn.IFS(L779&gt;54, "Old (55+)", L779&gt;=31, "Middle Age (31-54)", L779&lt;31, "Adolescent (&lt;31)")</f>
        <v>Adolescent (&lt;31)</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_xlfn.IFS(L780&gt;54, "Old (55+)", L780&gt;=31, "Middle Age (31-54)", L780&lt;31, "Adolescent (&lt;31)")</f>
        <v>Middle Age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_xlfn.IFS(L781&gt;54, "Old (55+)", L781&gt;=31, "Middle Age (31-54)", L781&lt;31, "Adolescent (&lt;31)")</f>
        <v>Middle Age (31-54)</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cm="1">
        <f t="array" ref="M782">_xlfn.IFS(L782&gt;54, "Old (55+)", L782&gt;=31, "Middle Age (31-54)", L782&lt;31, "Adolescent (&lt;31)")</f>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_xlfn.IFS(L783&gt;54, "Old (55+)", L783&gt;=31, "Middle Age (31-54)", L783&lt;31, "Adolescent (&lt;31)")</f>
        <v>Middle Age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_xlfn.IFS(L784&gt;54, "Old (55+)", L784&gt;=31, "Middle Age (31-54)", L784&lt;31, "Adolescent (&lt;31)")</f>
        <v>Middle Age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_xlfn.IFS(L785&gt;54, "Old (55+)", L785&gt;=31, "Middle Age (31-54)", L785&lt;31, "Adolescent (&lt;31)")</f>
        <v>Middle Age (31-54)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_xlfn.IFS(L786&gt;54, "Old (55+)", L786&gt;=31, "Middle Age (31-54)", L786&lt;31, "Adolescent (&lt;31)")</f>
        <v>Middle Age (31-54)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_xlfn.IFS(L787&gt;54, "Old (55+)", L787&gt;=31, "Middle Age (31-54)", L787&lt;31, "Adolescent (&lt;31)")</f>
        <v>Adolescent (&lt;31)</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_xlfn.IFS(L788&gt;54, "Old (55+)", L788&gt;=31, "Middle Age (31-54)", L788&lt;31, "Adolescent (&lt;31)")</f>
        <v>Middle Age (31-54)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_xlfn.IFS(L789&gt;54, "Old (55+)", L789&gt;=31, "Middle Age (31-54)", L789&lt;31, "Adolescent (&lt;31)")</f>
        <v>Old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_xlfn.IFS(L790&gt;54, "Old (55+)", L790&gt;=31, "Middle Age (31-54)", L790&lt;31, "Adolescent (&lt;31)")</f>
        <v>Middle Age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_xlfn.IFS(L791&gt;54, "Old (55+)", L791&gt;=31, "Middle Age (31-54)", L791&lt;31, "Adolescent (&lt;31)")</f>
        <v>Middle Age (31-54)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_xlfn.IFS(L792&gt;54, "Old (55+)", L792&gt;=31, "Middle Age (31-54)", L792&lt;31, "Adolescent (&lt;31)")</f>
        <v>Middle Age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_xlfn.IFS(L793&gt;54, "Old (55+)", L793&gt;=31, "Middle Age (31-54)", L793&lt;31, "Adolescent (&lt;31)")</f>
        <v>Adolescent (&lt;31)</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_xlfn.IFS(L794&gt;54, "Old (55+)", L794&gt;=31, "Middle Age (31-54)", L794&lt;31, "Adolescent (&lt;31)")</f>
        <v>Middle Age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_xlfn.IFS(L795&gt;54, "Old (55+)", L795&gt;=31, "Middle Age (31-54)", L795&lt;31, "Adolescent (&lt;31)")</f>
        <v>Middle Age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_xlfn.IFS(L796&gt;54, "Old (55+)", L796&gt;=31, "Middle Age (31-54)", L796&lt;31, "Adolescent (&lt;31)")</f>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_xlfn.IFS(L797&gt;54, "Old (55+)", L797&gt;=31, "Middle Age (31-54)", L797&lt;31, "Adolescent (&lt;31)")</f>
        <v>Middle Age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_xlfn.IFS(L798&gt;54, "Old (55+)", L798&gt;=31, "Middle Age (31-54)", L798&lt;31, "Adolescent (&lt;31)")</f>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_xlfn.IFS(L799&gt;54, "Old (55+)", L799&gt;=31, "Middle Age (31-54)", L799&lt;31, "Adolescent (&lt;31)")</f>
        <v>Adolescent (&lt;31)</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_xlfn.IFS(L800&gt;54, "Old (55+)", L800&gt;=31, "Middle Age (31-54)", L800&lt;31, "Adolescent (&lt;31)")</f>
        <v>Adolescent (&lt;31)</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_xlfn.IFS(L801&gt;54, "Old (55+)", L801&gt;=31, "Middle Age (31-54)", L801&lt;31, "Adolescent (&lt;31)")</f>
        <v>Middle Age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_xlfn.IFS(L802&gt;54, "Old (55+)", L802&gt;=31, "Middle Age (31-54)", L802&lt;31, "Adolescent (&lt;31)")</f>
        <v>Middle Age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_xlfn.IFS(L803&gt;54, "Old (55+)", L803&gt;=31, "Middle Age (31-54)", L803&lt;31, "Adolescent (&lt;31)")</f>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_xlfn.IFS(L804&gt;54, "Old (55+)", L804&gt;=31, "Middle Age (31-54)", L804&lt;31, "Adolescent (&lt;31)")</f>
        <v>Adolescent (&lt;31)</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_xlfn.IFS(L805&gt;54, "Old (55+)", L805&gt;=31, "Middle Age (31-54)", L805&lt;31, "Adolescent (&lt;31)")</f>
        <v>Adolescent (&lt;31)</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_xlfn.IFS(L806&gt;54, "Old (55+)", L806&gt;=31, "Middle Age (31-54)", L806&lt;31, "Adolescent (&lt;31)")</f>
        <v>Adolescent (&lt;31)</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_xlfn.IFS(L807&gt;54, "Old (55+)", L807&gt;=31, "Middle Age (31-54)", L807&lt;31, "Adolescent (&lt;31)")</f>
        <v>Middle Age (31-54)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_xlfn.IFS(L808&gt;54, "Old (55+)", L808&gt;=31, "Middle Age (31-54)", L808&lt;31, "Adolescent (&lt;31)")</f>
        <v>Middle Age (31-54)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_xlfn.IFS(L809&gt;54, "Old (55+)", L809&gt;=31, "Middle Age (31-54)", L809&lt;31, "Adolescent (&lt;31)")</f>
        <v>Middle Age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_xlfn.IFS(L810&gt;54, "Old (55+)", L810&gt;=31, "Middle Age (31-54)", L810&lt;31, "Adolescent (&lt;31)")</f>
        <v>Middle Age (31-54)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_xlfn.IFS(L811&gt;54, "Old (55+)", L811&gt;=31, "Middle Age (31-54)", L811&lt;31, "Adolescent (&lt;31)")</f>
        <v>Old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_xlfn.IFS(L812&gt;54, "Old (55+)", L812&gt;=31, "Middle Age (31-54)", L812&lt;31, "Adolescent (&lt;31)")</f>
        <v>Middle Age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_xlfn.IFS(L813&gt;54, "Old (55+)", L813&gt;=31, "Middle Age (31-54)", L813&lt;31, "Adolescent (&lt;31)")</f>
        <v>Middle Age (31-54)</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cm="1">
        <f t="array" ref="M814">_xlfn.IFS(L814&gt;54, "Old (55+)", L814&gt;=31, "Middle Age (31-54)", L814&lt;31, "Adolescent (&lt;31)")</f>
        <v>Old (55+)</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cm="1">
        <f t="array" ref="M815">_xlfn.IFS(L815&gt;54, "Old (55+)", L815&gt;=31, "Middle Age (31-54)", L815&lt;31, "Adolescent (&lt;31)")</f>
        <v>Middle Age (31-54)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_xlfn.IFS(L816&gt;54, "Old (55+)", L816&gt;=31, "Middle Age (31-54)", L816&lt;31, "Adolescent (&lt;31)")</f>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_xlfn.IFS(L817&gt;54, "Old (55+)", L817&gt;=31, "Middle Age (31-54)", L817&lt;31, "Adolescent (&lt;31)")</f>
        <v>Adolescent (&lt;31)</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_xlfn.IFS(L818&gt;54, "Old (55+)", L818&gt;=31, "Middle Age (31-54)", L818&lt;31, "Adolescent (&lt;31)")</f>
        <v>Middle Age (31-54)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_xlfn.IFS(L819&gt;54, "Old (55+)", L819&gt;=31, "Middle Age (31-54)", L819&lt;31, "Adolescent (&lt;31)")</f>
        <v>Middle Age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_xlfn.IFS(L820&gt;54, "Old (55+)", L820&gt;=31, "Middle Age (31-54)", L820&lt;31, "Adolescent (&lt;31)")</f>
        <v>Adolescent (&lt;31)</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_xlfn.IFS(L821&gt;54, "Old (55+)", L821&gt;=31, "Middle Age (31-54)", L821&lt;31, "Adolescent (&lt;31)")</f>
        <v>Adolescent (&lt;31)</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_xlfn.IFS(L822&gt;54, "Old (55+)", L822&gt;=31, "Middle Age (31-54)", L822&lt;31, "Adolescent (&lt;31)")</f>
        <v>Middle Age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_xlfn.IFS(L823&gt;54, "Old (55+)", L823&gt;=31, "Middle Age (31-54)", L823&lt;31, "Adolescent (&lt;31)")</f>
        <v>Middle Age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_xlfn.IFS(L824&gt;54, "Old (55+)", L824&gt;=31, "Middle Age (31-54)", L824&lt;31, "Adolescent (&lt;31)")</f>
        <v>Middle Age (31-54)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_xlfn.IFS(L825&gt;54, "Old (55+)", L825&gt;=31, "Middle Age (31-54)", L825&lt;31, "Adolescent (&lt;31)")</f>
        <v>Middle Age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_xlfn.IFS(L826&gt;54, "Old (55+)", L826&gt;=31, "Middle Age (31-54)", L826&lt;31, "Adolescent (&lt;31)")</f>
        <v>Middle Age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_xlfn.IFS(L827&gt;54, "Old (55+)", L827&gt;=31, "Middle Age (31-54)", L827&lt;31, "Adolescent (&lt;31)")</f>
        <v>Middle Age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_xlfn.IFS(L828&gt;54, "Old (55+)", L828&gt;=31, "Middle Age (31-54)", L828&lt;31, "Adolescent (&lt;31)")</f>
        <v>Middle Age (31-54)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_xlfn.IFS(L829&gt;54, "Old (55+)", L829&gt;=31, "Middle Age (31-54)", L829&lt;31, "Adolescent (&lt;31)")</f>
        <v>Middle Age (31-54)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_xlfn.IFS(L830&gt;54, "Old (55+)", L830&gt;=31, "Middle Age (31-54)", L830&lt;31, "Adolescent (&lt;31)")</f>
        <v>Adolescent (&lt;31)</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_xlfn.IFS(L831&gt;54, "Old (55+)", L831&gt;=31, "Middle Age (31-54)", L831&lt;31, "Adolescent (&lt;31)")</f>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_xlfn.IFS(L832&gt;54, "Old (55+)", L832&gt;=31, "Middle Age (31-54)", L832&lt;31, "Adolescent (&lt;31)")</f>
        <v>Middle Age (31-54)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_xlfn.IFS(L833&gt;54, "Old (55+)", L833&gt;=31, "Middle Age (31-54)", L833&lt;31, "Adolescent (&lt;31)")</f>
        <v>Middle Age (31-54)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_xlfn.IFS(L834&gt;54, "Old (55+)", L834&gt;=31, "Middle Age (31-54)", L834&lt;31, "Adolescent (&lt;31)")</f>
        <v>Middle Age (31-54)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_xlfn.IFS(L835&gt;54, "Old (55+)", L835&gt;=31, "Middle Age (31-54)", L835&lt;31, "Adolescent (&lt;31)")</f>
        <v>Middle Age (31-54)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_xlfn.IFS(L836&gt;54, "Old (55+)", L836&gt;=31, "Middle Age (31-54)", L836&lt;31, "Adolescent (&lt;31)")</f>
        <v>Middle Age (31-54)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_xlfn.IFS(L837&gt;54, "Old (55+)", L837&gt;=31, "Middle Age (31-54)", L837&lt;31, "Adolescent (&lt;31)")</f>
        <v>Middle Age (31-54)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_xlfn.IFS(L838&gt;54, "Old (55+)", L838&gt;=31, "Middle Age (31-54)", L838&lt;31, "Adolescent (&lt;31)")</f>
        <v>Adolescent (&lt;31)</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_xlfn.IFS(L839&gt;54, "Old (55+)", L839&gt;=31, "Middle Age (31-54)", L839&lt;31, "Adolescent (&lt;31)")</f>
        <v>Middle Age (31-54)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_xlfn.IFS(L840&gt;54, "Old (55+)", L840&gt;=31, "Middle Age (31-54)", L840&lt;31, "Adolescent (&lt;31)")</f>
        <v>Middle Age (31-54)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_xlfn.IFS(L841&gt;54, "Old (55+)", L841&gt;=31, "Middle Age (31-54)", L841&lt;31, "Adolescent (&lt;31)")</f>
        <v>Middle Age (31-54)</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cm="1">
        <f t="array" ref="M842">_xlfn.IFS(L842&gt;54, "Old (55+)", L842&gt;=31, "Middle Age (31-54)", L842&lt;31, "Adolescent (&lt;31)")</f>
        <v>Middle Age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_xlfn.IFS(L843&gt;54, "Old (55+)", L843&gt;=31, "Middle Age (31-54)", L843&lt;31, "Adolescent (&lt;31)")</f>
        <v>Old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_xlfn.IFS(L844&gt;54, "Old (55+)", L844&gt;=31, "Middle Age (31-54)", L844&lt;31, "Adolescent (&lt;31)")</f>
        <v>Middle Age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_xlfn.IFS(L845&gt;54, "Old (55+)", L845&gt;=31, "Middle Age (31-54)", L845&lt;31, "Adolescent (&lt;31)")</f>
        <v>Middle Age (31-54)</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cm="1">
        <f t="array" ref="M846">_xlfn.IFS(L846&gt;54, "Old (55+)", L846&gt;=31, "Middle Age (31-54)", L846&lt;31, "Adolescent (&lt;31)")</f>
        <v>Old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_xlfn.IFS(L847&gt;54, "Old (55+)", L847&gt;=31, "Middle Age (31-54)", L847&lt;31, "Adolescent (&lt;31)")</f>
        <v>Middle Age (31-54)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_xlfn.IFS(L848&gt;54, "Old (55+)", L848&gt;=31, "Middle Age (31-54)", L848&lt;31, "Adolescent (&lt;31)")</f>
        <v>Old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_xlfn.IFS(L849&gt;54, "Old (55+)", L849&gt;=31, "Middle Age (31-54)", L849&lt;31, "Adolescent (&lt;31)")</f>
        <v>Adolescent (&lt;31)</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_xlfn.IFS(L850&gt;54, "Old (55+)", L850&gt;=31, "Middle Age (31-54)", L850&lt;31, "Adolescent (&lt;31)")</f>
        <v>Middle Age (31-54)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_xlfn.IFS(L851&gt;54, "Old (55+)", L851&gt;=31, "Middle Age (31-54)", L851&lt;31, "Adolescent (&lt;31)")</f>
        <v>Old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_xlfn.IFS(L852&gt;54, "Old (55+)", L852&gt;=31, "Middle Age (31-54)", L852&lt;31, "Adolescent (&lt;31)")</f>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_xlfn.IFS(L853&gt;54, "Old (55+)", L853&gt;=31, "Middle Age (31-54)", L853&lt;31, "Adolescent (&lt;31)")</f>
        <v>Middle Age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_xlfn.IFS(L854&gt;54, "Old (55+)", L854&gt;=31, "Middle Age (31-54)", L854&lt;31, "Adolescent (&lt;31)")</f>
        <v>Middle Age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_xlfn.IFS(L855&gt;54, "Old (55+)", L855&gt;=31, "Middle Age (31-54)", L855&lt;31, "Adolescent (&lt;31)")</f>
        <v>Middle Age (31-54)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_xlfn.IFS(L856&gt;54, "Old (55+)", L856&gt;=31, "Middle Age (31-54)", L856&lt;31, "Adolescent (&lt;31)")</f>
        <v>Middle Age (31-54)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_xlfn.IFS(L857&gt;54, "Old (55+)", L857&gt;=31, "Middle Age (31-54)", L857&lt;31, "Adolescent (&lt;31)")</f>
        <v>Middle Age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_xlfn.IFS(L858&gt;54, "Old (55+)", L858&gt;=31, "Middle Age (31-54)", L858&lt;31, "Adolescent (&lt;31)")</f>
        <v>Adolescent (&lt;31)</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_xlfn.IFS(L859&gt;54, "Old (55+)", L859&gt;=31, "Middle Age (31-54)", L859&lt;31, "Adolescent (&lt;31)")</f>
        <v>Middle Age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_xlfn.IFS(L860&gt;54, "Old (55+)", L860&gt;=31, "Middle Age (31-54)", L860&lt;31, "Adolescent (&lt;31)")</f>
        <v>Middle Age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_xlfn.IFS(L861&gt;54, "Old (55+)", L861&gt;=31, "Middle Age (31-54)", L861&lt;31, "Adolescent (&lt;31)")</f>
        <v>Middle Age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_xlfn.IFS(L862&gt;54, "Old (55+)", L862&gt;=31, "Middle Age (31-54)", L862&lt;31, "Adolescent (&lt;31)")</f>
        <v>Middle Age (31-54)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_xlfn.IFS(L863&gt;54, "Old (55+)", L863&gt;=31, "Middle Age (31-54)", L863&lt;31, "Adolescent (&lt;31)")</f>
        <v>Middle Age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_xlfn.IFS(L864&gt;54, "Old (55+)", L864&gt;=31, "Middle Age (31-54)", L864&lt;31, "Adolescent (&lt;31)")</f>
        <v>Middle Age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_xlfn.IFS(L865&gt;54, "Old (55+)", L865&gt;=31, "Middle Age (31-54)", L865&lt;31, "Adolescent (&lt;31)")</f>
        <v>Middle Age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_xlfn.IFS(L866&gt;54, "Old (55+)", L866&gt;=31, "Middle Age (31-54)", L866&lt;31, "Adolescent (&lt;31)")</f>
        <v>Middle Age (31-54)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_xlfn.IFS(L867&gt;54, "Old (55+)", L867&gt;=31, "Middle Age (31-54)", L867&lt;31, "Adolescent (&lt;31)")</f>
        <v>Middle Age (31-54)</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cm="1">
        <f t="array" ref="M868">_xlfn.IFS(L868&gt;54, "Old (55+)", L868&gt;=31, "Middle Age (31-54)", L868&lt;31, "Adolescent (&lt;31)")</f>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_xlfn.IFS(L869&gt;54, "Old (55+)", L869&gt;=31, "Middle Age (31-54)", L869&lt;31, "Adolescent (&lt;31)")</f>
        <v>Middle Age (31-54)</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cm="1">
        <f t="array" ref="M870">_xlfn.IFS(L870&gt;54, "Old (55+)", L870&gt;=31, "Middle Age (31-54)", L870&lt;31, "Adolescent (&lt;31)")</f>
        <v>Old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_xlfn.IFS(L871&gt;54, "Old (55+)", L871&gt;=31, "Middle Age (31-54)", L871&lt;31, "Adolescent (&lt;31)")</f>
        <v>Middle Age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_xlfn.IFS(L872&gt;54, "Old (55+)", L872&gt;=31, "Middle Age (31-54)", L872&lt;31, "Adolescent (&lt;31)")</f>
        <v>Middle Age (31-54)</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cm="1">
        <f t="array" ref="M873">_xlfn.IFS(L873&gt;54, "Old (55+)", L873&gt;=31, "Middle Age (31-54)", L873&lt;31, "Adolescent (&lt;31)")</f>
        <v>Old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_xlfn.IFS(L874&gt;54, "Old (55+)", L874&gt;=31, "Middle Age (31-54)", L874&lt;31, "Adolescent (&lt;31)")</f>
        <v>Middle Age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_xlfn.IFS(L875&gt;54, "Old (55+)", L875&gt;=31, "Middle Age (31-54)", L875&lt;31, "Adolescent (&lt;31)")</f>
        <v>Middle Age (31-54)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_xlfn.IFS(L876&gt;54, "Old (55+)", L876&gt;=31, "Middle Age (31-54)", L876&lt;31, "Adolescent (&lt;31)")</f>
        <v>Middle Age (31-54)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_xlfn.IFS(L877&gt;54, "Old (55+)", L877&gt;=31, "Middle Age (31-54)", L877&lt;31, "Adolescent (&lt;31)")</f>
        <v>Middle Age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_xlfn.IFS(L878&gt;54, "Old (55+)", L878&gt;=31, "Middle Age (31-54)", L878&lt;31, "Adolescent (&lt;31)")</f>
        <v>Adolescent (&lt;31)</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_xlfn.IFS(L879&gt;54, "Old (55+)", L879&gt;=31, "Middle Age (31-54)", L879&lt;31, "Adolescent (&lt;31)")</f>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_xlfn.IFS(L880&gt;54, "Old (55+)", L880&gt;=31, "Middle Age (31-54)", L880&lt;31, "Adolescent (&lt;31)")</f>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_xlfn.IFS(L881&gt;54, "Old (55+)", L881&gt;=31, "Middle Age (31-54)", L881&lt;31, "Adolescent (&lt;31)")</f>
        <v>Middle Age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_xlfn.IFS(L882&gt;54, "Old (55+)", L882&gt;=31, "Middle Age (31-54)", L882&lt;31, "Adolescent (&lt;31)")</f>
        <v>Middle Age (31-54)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_xlfn.IFS(L883&gt;54, "Old (55+)", L883&gt;=31, "Middle Age (31-54)", L883&lt;31, "Adolescent (&lt;31)")</f>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_xlfn.IFS(L884&gt;54, "Old (55+)", L884&gt;=31, "Middle Age (31-54)", L884&lt;31, "Adolescent (&lt;31)")</f>
        <v>Middle Age (31-54)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_xlfn.IFS(L885&gt;54, "Old (55+)", L885&gt;=31, "Middle Age (31-54)", L885&lt;31, "Adolescent (&lt;31)")</f>
        <v>Middle Age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_xlfn.IFS(L886&gt;54, "Old (55+)", L886&gt;=31, "Middle Age (31-54)", L886&lt;31, "Adolescent (&lt;31)")</f>
        <v>Old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_xlfn.IFS(L887&gt;54, "Old (55+)", L887&gt;=31, "Middle Age (31-54)", L887&lt;31, "Adolescent (&lt;31)")</f>
        <v>Middle Age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_xlfn.IFS(L888&gt;54, "Old (55+)", L888&gt;=31, "Middle Age (31-54)", L888&lt;31, "Adolescent (&lt;31)")</f>
        <v>Middle Age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_xlfn.IFS(L889&gt;54, "Old (55+)", L889&gt;=31, "Middle Age (31-54)", L889&lt;31, "Adolescent (&lt;31)")</f>
        <v>Middle Age (31-54)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_xlfn.IFS(L890&gt;54, "Old (55+)", L890&gt;=31, "Middle Age (31-54)", L890&lt;31, "Adolescent (&lt;31)")</f>
        <v>Middle Age (31-54)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_xlfn.IFS(L891&gt;54, "Old (55+)", L891&gt;=31, "Middle Age (31-54)", L891&lt;31, "Adolescent (&lt;31)")</f>
        <v>Middle Age (31-54)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_xlfn.IFS(L892&gt;54, "Old (55+)", L892&gt;=31, "Middle Age (31-54)", L892&lt;31, "Adolescent (&lt;31)")</f>
        <v>Middle Age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_xlfn.IFS(L893&gt;54, "Old (55+)", L893&gt;=31, "Middle Age (31-54)", L893&lt;31, "Adolescent (&lt;31)")</f>
        <v>Old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_xlfn.IFS(L894&gt;54, "Old (55+)", L894&gt;=31, "Middle Age (31-54)", L894&lt;31, "Adolescent (&lt;31)")</f>
        <v>Middle Age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_xlfn.IFS(L895&gt;54, "Old (55+)", L895&gt;=31, "Middle Age (31-54)", L895&lt;31, "Adolescent (&lt;31)")</f>
        <v>Middle Age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_xlfn.IFS(L896&gt;54, "Old (55+)", L896&gt;=31, "Middle Age (31-54)", L896&lt;31, "Adolescent (&lt;31)")</f>
        <v>Middle Age (31-54)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_xlfn.IFS(L897&gt;54, "Old (55+)", L897&gt;=31, "Middle Age (31-54)", L897&lt;31, "Adolescent (&lt;31)")</f>
        <v>Old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_xlfn.IFS(L898&gt;54, "Old (55+)", L898&gt;=31, "Middle Age (31-54)", L898&lt;31, "Adolescent (&lt;31)")</f>
        <v>Middle Age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_xlfn.IFS(L899&gt;54, "Old (55+)", L899&gt;=31, "Middle Age (31-54)", L899&lt;31, "Adolescent (&lt;31)")</f>
        <v>Adolescent (&lt;31)</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cm="1">
        <f t="array" ref="M900">_xlfn.IFS(L900&gt;54, "Old (55+)", L900&gt;=31, "Middle Age (31-54)", L900&lt;31, "Adolescent (&lt;31)")</f>
        <v>Old (55+)</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cm="1">
        <f t="array" ref="M901">_xlfn.IFS(L901&gt;54, "Old (55+)", L901&gt;=31, "Middle Age (31-54)", L901&lt;31, "Adolescent (&lt;31)")</f>
        <v>Middle Age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_xlfn.IFS(L902&gt;54, "Old (55+)", L902&gt;=31, "Middle Age (31-54)", L902&lt;31, "Adolescent (&lt;31)")</f>
        <v>Middle Age (31-54)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_xlfn.IFS(L903&gt;54, "Old (55+)", L903&gt;=31, "Middle Age (31-54)", L903&lt;31, "Adolescent (&lt;31)")</f>
        <v>Middle Age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_xlfn.IFS(L904&gt;54, "Old (55+)", L904&gt;=31, "Middle Age (31-54)", L904&lt;31, "Adolescent (&lt;31)")</f>
        <v>Middle Age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_xlfn.IFS(L905&gt;54, "Old (55+)", L905&gt;=31, "Middle Age (31-54)", L905&lt;31, "Adolescent (&lt;31)")</f>
        <v>Old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_xlfn.IFS(L906&gt;54, "Old (55+)", L906&gt;=31, "Middle Age (31-54)", L906&lt;31, "Adolescent (&lt;31)")</f>
        <v>Middle Age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_xlfn.IFS(L907&gt;54, "Old (55+)", L907&gt;=31, "Middle Age (31-54)", L907&lt;31, "Adolescent (&lt;31)")</f>
        <v>Middle Age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_xlfn.IFS(L908&gt;54, "Old (55+)", L908&gt;=31, "Middle Age (31-54)", L908&lt;31, "Adolescent (&lt;31)")</f>
        <v>Middle Age (31-54)</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cm="1">
        <f t="array" ref="M909">_xlfn.IFS(L909&gt;54, "Old (55+)", L909&gt;=31, "Middle Age (31-54)", L909&lt;31, "Adolescent (&lt;31)")</f>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_xlfn.IFS(L910&gt;54, "Old (55+)", L910&gt;=31, "Middle Age (31-54)", L910&lt;31, "Adolescent (&lt;31)")</f>
        <v>Middle Age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_xlfn.IFS(L911&gt;54, "Old (55+)", L911&gt;=31, "Middle Age (31-54)", L911&lt;31, "Adolescent (&lt;31)")</f>
        <v>Middle Age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_xlfn.IFS(L912&gt;54, "Old (55+)", L912&gt;=31, "Middle Age (31-54)", L912&lt;31, "Adolescent (&lt;31)")</f>
        <v>Middle Age (31-54)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_xlfn.IFS(L913&gt;54, "Old (55+)", L913&gt;=31, "Middle Age (31-54)", L913&lt;31, "Adolescent (&lt;31)")</f>
        <v>Old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_xlfn.IFS(L914&gt;54, "Old (55+)", L914&gt;=31, "Middle Age (31-54)", L914&lt;31, "Adolescent (&lt;31)")</f>
        <v>Middle Age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_xlfn.IFS(L915&gt;54, "Old (55+)", L915&gt;=31, "Middle Age (31-54)", L915&lt;31, "Adolescent (&lt;31)")</f>
        <v>Middle Age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_xlfn.IFS(L916&gt;54, "Old (55+)", L916&gt;=31, "Middle Age (31-54)", L916&lt;31, "Adolescent (&lt;31)")</f>
        <v>Middle Age (31-54)</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cm="1">
        <f t="array" ref="M917">_xlfn.IFS(L917&gt;54, "Old (55+)", L917&gt;=31, "Middle Age (31-54)", L917&lt;31, "Adolescent (&lt;31)")</f>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_xlfn.IFS(L918&gt;54, "Old (55+)", L918&gt;=31, "Middle Age (31-54)", L918&lt;31, "Adolescent (&lt;31)")</f>
        <v>Middle Age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_xlfn.IFS(L919&gt;54, "Old (55+)", L919&gt;=31, "Middle Age (31-54)", L919&lt;31, "Adolescent (&lt;31)")</f>
        <v>Middle Age (31-54)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_xlfn.IFS(L920&gt;54, "Old (55+)", L920&gt;=31, "Middle Age (31-54)", L920&lt;31, "Adolescent (&lt;31)")</f>
        <v>Middle Age (31-54)</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cm="1">
        <f t="array" ref="M921">_xlfn.IFS(L921&gt;54, "Old (55+)", L921&gt;=31, "Middle Age (31-54)", L921&lt;31, "Adolescent (&lt;31)")</f>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_xlfn.IFS(L922&gt;54, "Old (55+)", L922&gt;=31, "Middle Age (31-54)", L922&lt;31, "Adolescent (&lt;31)")</f>
        <v>Middle Age (31-54)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_xlfn.IFS(L923&gt;54, "Old (55+)", L923&gt;=31, "Middle Age (31-54)", L923&lt;31, "Adolescent (&lt;31)")</f>
        <v>Middle Age (31-54)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_xlfn.IFS(L924&gt;54, "Old (55+)", L924&gt;=31, "Middle Age (31-54)", L924&lt;31, "Adolescent (&lt;31)")</f>
        <v>Middle Age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_xlfn.IFS(L925&gt;54, "Old (55+)", L925&gt;=31, "Middle Age (31-54)", L925&lt;31, "Adolescent (&lt;31)")</f>
        <v>Middle Age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_xlfn.IFS(L926&gt;54, "Old (55+)", L926&gt;=31, "Middle Age (31-54)", L926&lt;31, "Adolescent (&lt;31)")</f>
        <v>Middle Age (31-54)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_xlfn.IFS(L927&gt;54, "Old (55+)", L927&gt;=31, "Middle Age (31-54)", L927&lt;31, "Adolescent (&lt;31)")</f>
        <v>Middle Age (31-54)</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cm="1">
        <f t="array" ref="M928">_xlfn.IFS(L928&gt;54, "Old (55+)", L928&gt;=31, "Middle Age (31-54)", L928&lt;31, "Adolescent (&lt;31)")</f>
        <v>Old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_xlfn.IFS(L929&gt;54, "Old (55+)", L929&gt;=31, "Middle Age (31-54)", L929&lt;31, "Adolescent (&lt;31)")</f>
        <v>Middle Age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_xlfn.IFS(L930&gt;54, "Old (55+)", L930&gt;=31, "Middle Age (31-54)", L930&lt;31, "Adolescent (&lt;31)")</f>
        <v>Middle Age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_xlfn.IFS(L931&gt;54, "Old (55+)", L931&gt;=31, "Middle Age (31-54)", L931&lt;31, "Adolescent (&lt;31)")</f>
        <v>Middle Age (31-54)</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cm="1">
        <f t="array" ref="M932">_xlfn.IFS(L932&gt;54, "Old (55+)", L932&gt;=31, "Middle Age (31-54)", L932&lt;31, "Adolescent (&lt;31)")</f>
        <v>Middle Age (31-54)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_xlfn.IFS(L933&gt;54, "Old (55+)", L933&gt;=31, "Middle Age (31-54)", L933&lt;31, "Adolescent (&lt;31)")</f>
        <v>Middle Age (31-54)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_xlfn.IFS(L934&gt;54, "Old (55+)", L934&gt;=31, "Middle Age (31-54)", L934&lt;31, "Adolescent (&lt;31)")</f>
        <v>Adolescent (&lt;31)</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_xlfn.IFS(L935&gt;54, "Old (55+)", L935&gt;=31, "Middle Age (31-54)", L935&lt;31, "Adolescent (&lt;31)")</f>
        <v>Adolescent (&lt;31)</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_xlfn.IFS(L936&gt;54, "Old (55+)", L936&gt;=31, "Middle Age (31-54)", L936&lt;31, "Adolescent (&lt;31)")</f>
        <v>Old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_xlfn.IFS(L937&gt;54, "Old (55+)", L937&gt;=31, "Middle Age (31-54)", L937&lt;31, "Adolescent (&lt;31)")</f>
        <v>Middle Age (31-54)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_xlfn.IFS(L938&gt;54, "Old (55+)", L938&gt;=31, "Middle Age (31-54)", L938&lt;31, "Adolescent (&lt;31)")</f>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_xlfn.IFS(L939&gt;54, "Old (55+)", L939&gt;=31, "Middle Age (31-54)", L939&lt;31, "Adolescent (&lt;31)")</f>
        <v>Middle Age (31-54)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_xlfn.IFS(L940&gt;54, "Old (55+)", L940&gt;=31, "Middle Age (31-54)", L940&lt;31, "Adolescent (&lt;31)")</f>
        <v>Adolescent (&lt;31)</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_xlfn.IFS(L941&gt;54, "Old (55+)", L941&gt;=31, "Middle Age (31-54)", L941&lt;31, "Adolescent (&lt;31)")</f>
        <v>Middle Age (31-54)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_xlfn.IFS(L942&gt;54, "Old (55+)", L942&gt;=31, "Middle Age (31-54)", L942&lt;31, "Adolescent (&lt;31)")</f>
        <v>Middle Age (31-54)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_xlfn.IFS(L943&gt;54, "Old (55+)", L943&gt;=31, "Middle Age (31-54)", L943&lt;31, "Adolescent (&lt;31)")</f>
        <v>Middle Age (31-54)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_xlfn.IFS(L944&gt;54, "Old (55+)", L944&gt;=31, "Middle Age (31-54)", L944&lt;31, "Adolescent (&lt;31)")</f>
        <v>Middle Age (31-54)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_xlfn.IFS(L945&gt;54, "Old (55+)", L945&gt;=31, "Middle Age (31-54)", L945&lt;31, "Adolescent (&lt;31)")</f>
        <v>Middle Age (31-54)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_xlfn.IFS(L946&gt;54, "Old (55+)", L946&gt;=31, "Middle Age (31-54)", L946&lt;31, "Adolescent (&lt;31)")</f>
        <v>Middle Age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_xlfn.IFS(L947&gt;54, "Old (55+)", L947&gt;=31, "Middle Age (31-54)", L947&lt;31, "Adolescent (&lt;31)")</f>
        <v>Middle Age (31-54)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_xlfn.IFS(L948&gt;54, "Old (55+)", L948&gt;=31, "Middle Age (31-54)", L948&lt;31, "Adolescent (&lt;31)")</f>
        <v>Old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_xlfn.IFS(L949&gt;54, "Old (55+)", L949&gt;=31, "Middle Age (31-54)", L949&lt;31, "Adolescent (&lt;31)")</f>
        <v>Middle Age (31-54)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_xlfn.IFS(L950&gt;54, "Old (55+)", L950&gt;=31, "Middle Age (31-54)", L950&lt;31, "Adolescent (&lt;31)")</f>
        <v>Middle Age (31-54)</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cm="1">
        <f t="array" ref="M951">_xlfn.IFS(L951&gt;54, "Old (55+)", L951&gt;=31, "Middle Age (31-54)", L951&lt;31, "Adolescent (&lt;31)")</f>
        <v>Middle Age (31-54)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_xlfn.IFS(L952&gt;54, "Old (55+)", L952&gt;=31, "Middle Age (31-54)", L952&lt;31, "Adolescent (&lt;31)")</f>
        <v>Middle Age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_xlfn.IFS(L953&gt;54, "Old (55+)", L953&gt;=31, "Middle Age (31-54)", L953&lt;31, "Adolescent (&lt;31)")</f>
        <v>Middle Age (31-54)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_xlfn.IFS(L954&gt;54, "Old (55+)", L954&gt;=31, "Middle Age (31-54)", L954&lt;31, "Adolescent (&lt;31)")</f>
        <v>Old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_xlfn.IFS(L955&gt;54, "Old (55+)", L955&gt;=31, "Middle Age (31-54)", L955&lt;31, "Adolescent (&lt;31)")</f>
        <v>Adolescent (&lt;31)</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_xlfn.IFS(L956&gt;54, "Old (55+)", L956&gt;=31, "Middle Age (31-54)", L956&lt;31, "Adolescent (&lt;31)")</f>
        <v>Middle Age (31-54)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_xlfn.IFS(L957&gt;54, "Old (55+)", L957&gt;=31, "Middle Age (31-54)", L957&lt;31, "Adolescent (&lt;31)")</f>
        <v>Middle Age (31-54)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_xlfn.IFS(L958&gt;54, "Old (55+)", L958&gt;=31, "Middle Age (31-54)", L958&lt;31, "Adolescent (&lt;31)")</f>
        <v>Middle Age (31-54)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_xlfn.IFS(L959&gt;54, "Old (55+)", L959&gt;=31, "Middle Age (31-54)", L959&lt;31, "Adolescent (&lt;31)")</f>
        <v>Adolescent (&lt;31)</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_xlfn.IFS(L960&gt;54, "Old (55+)", L960&gt;=31, "Middle Age (31-54)", L960&lt;31, "Adolescent (&lt;31)")</f>
        <v>Middle Age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_xlfn.IFS(L961&gt;54, "Old (55+)", L961&gt;=31, "Middle Age (31-54)", L961&lt;31, "Adolescent (&lt;31)")</f>
        <v>Middle Age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_xlfn.IFS(L962&gt;54, "Old (55+)", L962&gt;=31, "Middle Age (31-54)", L962&lt;31, "Adolescent (&lt;31)")</f>
        <v>Middle Age (31-54)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_xlfn.IFS(L963&gt;54, "Old (55+)", L963&gt;=31, "Middle Age (31-54)", L963&lt;31, "Adolescent (&lt;31)")</f>
        <v>Old (55+)</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cm="1">
        <f t="array" ref="M964">_xlfn.IFS(L964&gt;54, "Old (55+)", L964&gt;=31, "Middle Age (31-54)", L964&lt;31, "Adolescent (&lt;31)")</f>
        <v>Old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_xlfn.IFS(L965&gt;54, "Old (55+)", L965&gt;=31, "Middle Age (31-54)", L965&lt;31, "Adolescent (&lt;31)")</f>
        <v>Old (55+)</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cm="1">
        <f t="array" ref="M966">_xlfn.IFS(L966&gt;54, "Old (55+)", L966&gt;=31, "Middle Age (31-54)", L966&lt;31, "Adolescent (&lt;31)")</f>
        <v>Old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_xlfn.IFS(L967&gt;54, "Old (55+)", L967&gt;=31, "Middle Age (31-54)", L967&lt;31, "Adolescent (&lt;31)")</f>
        <v>Middle Age (31-54)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_xlfn.IFS(L968&gt;54, "Old (55+)", L968&gt;=31, "Middle Age (31-54)", L968&lt;31, "Adolescent (&lt;31)")</f>
        <v>Middle Age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_xlfn.IFS(L969&gt;54, "Old (55+)", L969&gt;=31, "Middle Age (31-54)", L969&lt;31, "Adolescent (&lt;31)")</f>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_xlfn.IFS(L970&gt;54, "Old (55+)", L970&gt;=31, "Middle Age (31-54)", L970&lt;31, "Adolescent (&lt;31)")</f>
        <v>Adolescent (&lt;31)</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_xlfn.IFS(L971&gt;54, "Old (55+)", L971&gt;=31, "Middle Age (31-54)", L971&lt;31, "Adolescent (&lt;31)")</f>
        <v>Middle Age (31-54)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_xlfn.IFS(L972&gt;54, "Old (55+)", L972&gt;=31, "Middle Age (31-54)", L972&lt;31, "Adolescent (&lt;31)")</f>
        <v>Middle Age (31-54)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_xlfn.IFS(L973&gt;54, "Old (55+)", L973&gt;=31, "Middle Age (31-54)", L973&lt;31, "Adolescent (&lt;31)")</f>
        <v>Middle Age (31-54)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_xlfn.IFS(L974&gt;54, "Old (55+)", L974&gt;=31, "Middle Age (31-54)", L974&lt;31, "Adolescent (&lt;31)")</f>
        <v>Middle Age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_xlfn.IFS(L975&gt;54, "Old (55+)", L975&gt;=31, "Middle Age (31-54)", L975&lt;31, "Adolescent (&lt;31)")</f>
        <v>Middle Age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_xlfn.IFS(L976&gt;54, "Old (55+)", L976&gt;=31, "Middle Age (31-54)", L976&lt;31, "Adolescent (&lt;31)")</f>
        <v>Middle Age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_xlfn.IFS(L977&gt;54, "Old (55+)", L977&gt;=31, "Middle Age (31-54)", L977&lt;31, "Adolescent (&lt;31)")</f>
        <v>Middle Age (31-54)</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cm="1">
        <f t="array" ref="M978">_xlfn.IFS(L978&gt;54, "Old (55+)", L978&gt;=31, "Middle Age (31-54)", L978&lt;31, "Adolescent (&lt;31)")</f>
        <v>Old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_xlfn.IFS(L979&gt;54, "Old (55+)", L979&gt;=31, "Middle Age (31-54)", L979&lt;31, "Adolescent (&lt;31)")</f>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_xlfn.IFS(L980&gt;54, "Old (55+)", L980&gt;=31, "Middle Age (31-54)", L980&lt;31, "Adolescent (&lt;31)")</f>
        <v>Middle Age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_xlfn.IFS(L981&gt;54, "Old (55+)", L981&gt;=31, "Middle Age (31-54)", L981&lt;31, "Adolescent (&lt;31)")</f>
        <v>Middle Age (31-54)</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cm="1">
        <f t="array" ref="M982">_xlfn.IFS(L982&gt;54, "Old (55+)", L982&gt;=31, "Middle Age (31-54)", L982&lt;31, "Adolescent (&lt;31)")</f>
        <v>Middle Age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_xlfn.IFS(L983&gt;54, "Old (55+)", L983&gt;=31, "Middle Age (31-54)", L983&lt;31, "Adolescent (&lt;31)")</f>
        <v>Middle Age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_xlfn.IFS(L984&gt;54, "Old (55+)", L984&gt;=31, "Middle Age (31-54)", L984&lt;31, "Adolescent (&lt;31)")</f>
        <v>Middle Age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_xlfn.IFS(L985&gt;54, "Old (55+)", L985&gt;=31, "Middle Age (31-54)", L985&lt;31, "Adolescent (&lt;31)")</f>
        <v>Middle Age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_xlfn.IFS(L986&gt;54, "Old (55+)", L986&gt;=31, "Middle Age (31-54)", L986&lt;31, "Adolescent (&lt;31)")</f>
        <v>Middle Age (31-54)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_xlfn.IFS(L987&gt;54, "Old (55+)", L987&gt;=31, "Middle Age (31-54)", L987&lt;31, "Adolescent (&lt;31)")</f>
        <v>Middle Age (31-54)</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cm="1">
        <f t="array" ref="M988">_xlfn.IFS(L988&gt;54, "Old (55+)", L988&gt;=31, "Middle Age (31-54)", L988&lt;31, "Adolescent (&lt;31)")</f>
        <v>Old (55+)</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cm="1">
        <f t="array" ref="M989">_xlfn.IFS(L989&gt;54, "Old (55+)", L989&gt;=31, "Middle Age (31-54)", L989&lt;31, "Adolescent (&lt;31)")</f>
        <v>Old (55+)</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cm="1">
        <f t="array" ref="M990">_xlfn.IFS(L990&gt;54, "Old (55+)", L990&gt;=31, "Middle Age (31-54)", L990&lt;31, "Adolescent (&lt;31)")</f>
        <v>Old (55+)</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cm="1">
        <f t="array" ref="M991">_xlfn.IFS(L991&gt;54, "Old (55+)", L991&gt;=31, "Middle Age (31-54)", L991&lt;31, "Adolescent (&lt;31)")</f>
        <v>Middle Age (31-54)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_xlfn.IFS(L992&gt;54, "Old (55+)", L992&gt;=31, "Middle Age (31-54)", L992&lt;31, "Adolescent (&lt;31)")</f>
        <v>Adolescent (&lt;31)</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_xlfn.IFS(L993&gt;54, "Old (55+)", L993&gt;=31, "Middle Age (31-54)", L993&lt;31, "Adolescent (&lt;31)")</f>
        <v>Middle Age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_xlfn.IFS(L994&gt;54, "Old (55+)", L994&gt;=31, "Middle Age (31-54)", L994&lt;31, "Adolescent (&lt;31)")</f>
        <v>Middle Age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_xlfn.IFS(L995&gt;54, "Old (55+)", L995&gt;=31, "Middle Age (31-54)", L995&lt;31, "Adolescent (&lt;31)")</f>
        <v>Middle Age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_xlfn.IFS(L996&gt;54, "Old (55+)", L996&gt;=31, "Middle Age (31-54)", L996&lt;31, "Adolescent (&lt;31)")</f>
        <v>Middle Age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_xlfn.IFS(L997&gt;54, "Old (55+)", L997&gt;=31, "Middle Age (31-54)", L997&lt;31, "Adolescent (&lt;31)")</f>
        <v>Middle Age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_xlfn.IFS(L998&gt;54, "Old (55+)", L998&gt;=31, "Middle Age (31-54)", L998&lt;31, "Adolescent (&lt;31)")</f>
        <v>Middle Age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_xlfn.IFS(L999&gt;54, "Old (55+)", L999&gt;=31, "Middle Age (31-54)", L999&lt;31, "Adolescent (&lt;31)")</f>
        <v>Middle Age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_xlfn.IFS(L1000&gt;54, "Old (55+)", L1000&gt;=31, "Middle Age (31-54)", L1000&lt;31, "Adolescent (&lt;31)")</f>
        <v>Middle Age (31-54)</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cm="1">
        <f t="array" ref="M1001">_xlfn.IFS(L1001&gt;54, "Old (55+)", L1001&gt;=31, "Middle Age (31-54)", L1001&lt;31, "Adolescent (&lt;31)")</f>
        <v>Middle Age (31-54)</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2C99F-5422-47F5-813A-2CA7EACFED9C}">
  <dimension ref="A3:Q10"/>
  <sheetViews>
    <sheetView workbookViewId="0">
      <selection activeCell="L29" sqref="L29"/>
    </sheetView>
  </sheetViews>
  <sheetFormatPr defaultRowHeight="14.4" x14ac:dyDescent="0.3"/>
  <cols>
    <col min="1" max="1" width="17" bestFit="1" customWidth="1"/>
    <col min="2" max="2" width="15.5546875" bestFit="1" customWidth="1"/>
    <col min="3" max="3" width="7.5546875" bestFit="1" customWidth="1"/>
    <col min="4" max="4" width="10.77734375" bestFit="1" customWidth="1"/>
    <col min="8" max="8" width="21.88671875" bestFit="1" customWidth="1"/>
    <col min="9" max="9" width="15.5546875" bestFit="1" customWidth="1"/>
    <col min="10" max="10" width="4" bestFit="1" customWidth="1"/>
    <col min="11" max="11" width="10.77734375" bestFit="1" customWidth="1"/>
    <col min="14" max="14" width="21.88671875" bestFit="1" customWidth="1"/>
    <col min="15" max="15" width="15.5546875" bestFit="1" customWidth="1"/>
    <col min="16" max="16" width="4" bestFit="1" customWidth="1"/>
    <col min="17" max="17" width="10.77734375" bestFit="1" customWidth="1"/>
  </cols>
  <sheetData>
    <row r="3" spans="1:17" x14ac:dyDescent="0.3">
      <c r="A3" s="6" t="s">
        <v>43</v>
      </c>
      <c r="B3" s="6" t="s">
        <v>44</v>
      </c>
      <c r="H3" s="6" t="s">
        <v>45</v>
      </c>
      <c r="I3" s="6" t="s">
        <v>44</v>
      </c>
      <c r="N3" s="6" t="s">
        <v>45</v>
      </c>
      <c r="O3" s="6" t="s">
        <v>44</v>
      </c>
    </row>
    <row r="4" spans="1:17" x14ac:dyDescent="0.3">
      <c r="A4" s="6" t="s">
        <v>41</v>
      </c>
      <c r="B4" t="s">
        <v>15</v>
      </c>
      <c r="C4" t="s">
        <v>18</v>
      </c>
      <c r="D4" t="s">
        <v>42</v>
      </c>
      <c r="H4" s="6" t="s">
        <v>41</v>
      </c>
      <c r="I4" t="s">
        <v>15</v>
      </c>
      <c r="J4" t="s">
        <v>18</v>
      </c>
      <c r="K4" t="s">
        <v>42</v>
      </c>
      <c r="N4" s="6" t="s">
        <v>41</v>
      </c>
      <c r="O4" t="s">
        <v>15</v>
      </c>
      <c r="P4" t="s">
        <v>18</v>
      </c>
      <c r="Q4" t="s">
        <v>42</v>
      </c>
    </row>
    <row r="5" spans="1:17" x14ac:dyDescent="0.3">
      <c r="A5" s="7" t="s">
        <v>39</v>
      </c>
      <c r="B5" s="3">
        <v>60123.966942148763</v>
      </c>
      <c r="C5" s="3">
        <v>56208.178438661707</v>
      </c>
      <c r="D5" s="3">
        <v>58062.62230919765</v>
      </c>
      <c r="H5" s="7" t="s">
        <v>16</v>
      </c>
      <c r="I5" s="8">
        <v>200</v>
      </c>
      <c r="J5" s="8">
        <v>166</v>
      </c>
      <c r="K5" s="8">
        <v>366</v>
      </c>
      <c r="N5" s="7" t="s">
        <v>48</v>
      </c>
      <c r="O5" s="8">
        <v>39</v>
      </c>
      <c r="P5" s="8">
        <v>71</v>
      </c>
      <c r="Q5" s="8">
        <v>110</v>
      </c>
    </row>
    <row r="6" spans="1:17" x14ac:dyDescent="0.3">
      <c r="A6" s="7" t="s">
        <v>38</v>
      </c>
      <c r="B6" s="3">
        <v>55774.058577405856</v>
      </c>
      <c r="C6" s="3">
        <v>53440</v>
      </c>
      <c r="D6" s="3">
        <v>54580.777096114522</v>
      </c>
      <c r="H6" s="7" t="s">
        <v>26</v>
      </c>
      <c r="I6" s="8">
        <v>77</v>
      </c>
      <c r="J6" s="8">
        <v>92</v>
      </c>
      <c r="K6" s="8">
        <v>169</v>
      </c>
      <c r="N6" s="7" t="s">
        <v>47</v>
      </c>
      <c r="O6" s="8">
        <v>383</v>
      </c>
      <c r="P6" s="8">
        <v>318</v>
      </c>
      <c r="Q6" s="8">
        <v>701</v>
      </c>
    </row>
    <row r="7" spans="1:17" x14ac:dyDescent="0.3">
      <c r="A7" s="7" t="s">
        <v>42</v>
      </c>
      <c r="B7" s="3">
        <v>57962.577962577961</v>
      </c>
      <c r="C7" s="3">
        <v>54874.759152215796</v>
      </c>
      <c r="D7" s="3">
        <v>56360</v>
      </c>
      <c r="H7" s="7" t="s">
        <v>22</v>
      </c>
      <c r="I7" s="8">
        <v>95</v>
      </c>
      <c r="J7" s="8">
        <v>67</v>
      </c>
      <c r="K7" s="8">
        <v>162</v>
      </c>
      <c r="N7" s="7" t="s">
        <v>49</v>
      </c>
      <c r="O7" s="8">
        <v>59</v>
      </c>
      <c r="P7" s="8">
        <v>130</v>
      </c>
      <c r="Q7" s="8">
        <v>189</v>
      </c>
    </row>
    <row r="8" spans="1:17" x14ac:dyDescent="0.3">
      <c r="H8" s="7" t="s">
        <v>23</v>
      </c>
      <c r="I8" s="8">
        <v>76</v>
      </c>
      <c r="J8" s="8">
        <v>116</v>
      </c>
      <c r="K8" s="8">
        <v>192</v>
      </c>
      <c r="N8" s="7" t="s">
        <v>42</v>
      </c>
      <c r="O8" s="8">
        <v>481</v>
      </c>
      <c r="P8" s="8">
        <v>519</v>
      </c>
      <c r="Q8" s="8">
        <v>1000</v>
      </c>
    </row>
    <row r="9" spans="1:17" x14ac:dyDescent="0.3">
      <c r="H9" s="7" t="s">
        <v>46</v>
      </c>
      <c r="I9" s="8">
        <v>33</v>
      </c>
      <c r="J9" s="8">
        <v>78</v>
      </c>
      <c r="K9" s="8">
        <v>111</v>
      </c>
    </row>
    <row r="10" spans="1:17" x14ac:dyDescent="0.3">
      <c r="H10" s="7" t="s">
        <v>42</v>
      </c>
      <c r="I10" s="8">
        <v>481</v>
      </c>
      <c r="J10" s="8">
        <v>519</v>
      </c>
      <c r="K10"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4745-634E-42B2-8B49-EBAD89B84E59}">
  <dimension ref="A1"/>
  <sheetViews>
    <sheetView showGridLines="0" showRowColHeaders="0" tabSelected="1" workbookViewId="0">
      <selection activeCell="B11" sqref="B11"/>
    </sheetView>
  </sheetViews>
  <sheetFormatPr defaultRowHeight="14.4" x14ac:dyDescent="0.3"/>
  <sheetData/>
  <sheetProtection autoFilter="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Clean_data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 Adam</cp:lastModifiedBy>
  <dcterms:created xsi:type="dcterms:W3CDTF">2022-03-18T02:50:57Z</dcterms:created>
  <dcterms:modified xsi:type="dcterms:W3CDTF">2026-06-18T16:10:56Z</dcterms:modified>
</cp:coreProperties>
</file>